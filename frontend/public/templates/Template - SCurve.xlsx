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codeName="ThisWorkbook" defaultThemeVersion="124226"/>
  <mc:AlternateContent xmlns:mc="http://schemas.openxmlformats.org/markup-compatibility/2006">
    <mc:Choice Requires="x15">
      <x15ac:absPath xmlns:x15ac="http://schemas.microsoft.com/office/spreadsheetml/2010/11/ac" url="/Users/ariefsandi/Kuliah/Penelitian Prof ES/PERTAMINA/2. Docs_New/S-Curve Template Pertamina/Rev/Rev 7 Jul/Change/"/>
    </mc:Choice>
  </mc:AlternateContent>
  <xr:revisionPtr revIDLastSave="0" documentId="13_ncr:1_{811D4A27-950F-9E43-AEC7-0BF129DB4C0D}" xr6:coauthVersionLast="47" xr6:coauthVersionMax="47" xr10:uidLastSave="{00000000-0000-0000-0000-000000000000}"/>
  <bookViews>
    <workbookView xWindow="0" yWindow="500" windowWidth="28800" windowHeight="17500" activeTab="2" xr2:uid="{00000000-000D-0000-FFFF-FFFF00000000}"/>
  </bookViews>
  <sheets>
    <sheet name="Cover Report" sheetId="120" r:id="rId1"/>
    <sheet name="TOC" sheetId="98" r:id="rId2"/>
    <sheet name="Exe Sum" sheetId="105" r:id="rId3"/>
    <sheet name="Appendix A" sheetId="102" r:id="rId4"/>
    <sheet name="S-Overall" sheetId="89" r:id="rId5"/>
    <sheet name="Check" sheetId="124" r:id="rId6"/>
    <sheet name="Appendix B" sheetId="101" r:id="rId7"/>
    <sheet name="Overall MDR_" sheetId="121" r:id="rId8"/>
    <sheet name="Appendix C" sheetId="113" r:id="rId9"/>
    <sheet name="Doc. Submitted" sheetId="114" r:id="rId10"/>
    <sheet name="Appendix D" sheetId="123" r:id="rId11"/>
    <sheet name="Activity Documentation" sheetId="122"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_____A100000" localSheetId="0">#REF!</definedName>
    <definedName name="________A100000">#REF!</definedName>
    <definedName name="________A99999" localSheetId="0">#REF!</definedName>
    <definedName name="________A99999">#REF!</definedName>
    <definedName name="_______A100000" localSheetId="0">#REF!</definedName>
    <definedName name="_______A100000">#REF!</definedName>
    <definedName name="_______A99999" localSheetId="0">#REF!</definedName>
    <definedName name="_______A99999">#REF!</definedName>
    <definedName name="_______Man1">[1]PaintBreak!$M$55</definedName>
    <definedName name="_______Man22">[1]PaintBreak!$M$56</definedName>
    <definedName name="_______Mat1">[1]PaintBreak!$K$55</definedName>
    <definedName name="_______Mat2">[1]PaintBreak!$K$56</definedName>
    <definedName name="______A100000" localSheetId="0">#REF!</definedName>
    <definedName name="______A100000">#REF!</definedName>
    <definedName name="______A99999" localSheetId="0">#REF!</definedName>
    <definedName name="______A99999">#REF!</definedName>
    <definedName name="______Man1">[1]PaintBreak!$M$55</definedName>
    <definedName name="______Man22">[1]PaintBreak!$M$56</definedName>
    <definedName name="______Mat1">[1]PaintBreak!$K$55</definedName>
    <definedName name="______Mat2">[1]PaintBreak!$K$56</definedName>
    <definedName name="_____A100000" localSheetId="0">#REF!</definedName>
    <definedName name="_____A100000">#REF!</definedName>
    <definedName name="_____A99999" localSheetId="0">#REF!</definedName>
    <definedName name="_____A99999">#REF!</definedName>
    <definedName name="_____Man1">[2]PaintBreak!$M$55</definedName>
    <definedName name="_____Man22">[2]PaintBreak!$M$56</definedName>
    <definedName name="_____Mat1">[2]PaintBreak!$K$55</definedName>
    <definedName name="_____Mat2">[2]PaintBreak!$K$56</definedName>
    <definedName name="____A100000" localSheetId="0">#REF!</definedName>
    <definedName name="____A100000">#REF!</definedName>
    <definedName name="____A99999" localSheetId="0">#REF!</definedName>
    <definedName name="____A99999">#REF!</definedName>
    <definedName name="____Man1">[2]PaintBreak!$M$55</definedName>
    <definedName name="____Man22">[2]PaintBreak!$M$56</definedName>
    <definedName name="____Mat1">[2]PaintBreak!$K$55</definedName>
    <definedName name="____Mat2">[2]PaintBreak!$K$56</definedName>
    <definedName name="____UPA100" localSheetId="0">'[3]GTS I PS'!#REF!</definedName>
    <definedName name="____UPA100">'[3]GTS I PS'!#REF!</definedName>
    <definedName name="___A100000" localSheetId="0">#REF!</definedName>
    <definedName name="___A100000">#REF!</definedName>
    <definedName name="___A99999" localSheetId="0">#REF!</definedName>
    <definedName name="___A99999">#REF!</definedName>
    <definedName name="___FIL1" localSheetId="0">'Cover Report'!___FIL1</definedName>
    <definedName name="___FIL1" localSheetId="2">'Exe Sum'!___FIL1</definedName>
    <definedName name="___FIL1">[0]!___FIL1</definedName>
    <definedName name="___Man1">[2]PaintBreak!$M$55</definedName>
    <definedName name="___Man22">[2]PaintBreak!$M$56</definedName>
    <definedName name="___Mat1">[2]PaintBreak!$K$55</definedName>
    <definedName name="___Mat2">[2]PaintBreak!$K$56</definedName>
    <definedName name="___UPA100" localSheetId="0">'[3]GTS I PS'!#REF!</definedName>
    <definedName name="___UPA100">'[3]GTS I PS'!#REF!</definedName>
    <definedName name="__123Graph_A" localSheetId="8" hidden="1">'[4]REV.C'!#REF!</definedName>
    <definedName name="__123Graph_A" localSheetId="0" hidden="1">'[4]REV.C'!#REF!</definedName>
    <definedName name="__123Graph_A" localSheetId="9" hidden="1">'[4]REV.C'!#REF!</definedName>
    <definedName name="__123Graph_A" localSheetId="2" hidden="1">'[4]REV.C'!#REF!</definedName>
    <definedName name="__123Graph_A" hidden="1">'[4]REV.C'!#REF!</definedName>
    <definedName name="__123Graph_B" localSheetId="8" hidden="1">#REF!</definedName>
    <definedName name="__123Graph_B" localSheetId="0" hidden="1">#REF!</definedName>
    <definedName name="__123Graph_B" localSheetId="9" hidden="1">#REF!</definedName>
    <definedName name="__123Graph_B" localSheetId="2" hidden="1">#REF!</definedName>
    <definedName name="__123Graph_B" hidden="1">#REF!</definedName>
    <definedName name="__123Graph_C" localSheetId="8" hidden="1">'[5]Eng_Hrs (HO)'!#REF!</definedName>
    <definedName name="__123Graph_C" localSheetId="0" hidden="1">'[5]Eng_Hrs (HO)'!#REF!</definedName>
    <definedName name="__123Graph_C" localSheetId="9" hidden="1">'[5]Eng_Hrs (HO)'!#REF!</definedName>
    <definedName name="__123Graph_C" localSheetId="2" hidden="1">'[5]Eng_Hrs (HO)'!#REF!</definedName>
    <definedName name="__123Graph_C" hidden="1">'[5]Eng_Hrs (HO)'!#REF!</definedName>
    <definedName name="__123Graph_D" localSheetId="8" hidden="1">#REF!</definedName>
    <definedName name="__123Graph_D" localSheetId="0" hidden="1">#REF!</definedName>
    <definedName name="__123Graph_D" localSheetId="9" hidden="1">#REF!</definedName>
    <definedName name="__123Graph_D" localSheetId="2" hidden="1">#REF!</definedName>
    <definedName name="__123Graph_D" hidden="1">#REF!</definedName>
    <definedName name="__123Graph_E" localSheetId="8" hidden="1">'[5]Eng_Hrs (HO)'!#REF!</definedName>
    <definedName name="__123Graph_E" localSheetId="0" hidden="1">'[5]Eng_Hrs (HO)'!#REF!</definedName>
    <definedName name="__123Graph_E" localSheetId="9" hidden="1">'[5]Eng_Hrs (HO)'!#REF!</definedName>
    <definedName name="__123Graph_E" localSheetId="2" hidden="1">'[5]Eng_Hrs (HO)'!#REF!</definedName>
    <definedName name="__123Graph_E" hidden="1">'[5]Eng_Hrs (HO)'!#REF!</definedName>
    <definedName name="__123Graph_F" localSheetId="8" hidden="1">#REF!</definedName>
    <definedName name="__123Graph_F" localSheetId="0" hidden="1">#REF!</definedName>
    <definedName name="__123Graph_F" localSheetId="9" hidden="1">#REF!</definedName>
    <definedName name="__123Graph_F" localSheetId="2" hidden="1">#REF!</definedName>
    <definedName name="__123Graph_F" hidden="1">#REF!</definedName>
    <definedName name="__123Graph_X" localSheetId="8" hidden="1">'[4]REV.C'!#REF!</definedName>
    <definedName name="__123Graph_X" localSheetId="0" hidden="1">'[4]REV.C'!#REF!</definedName>
    <definedName name="__123Graph_X" localSheetId="9" hidden="1">'[4]REV.C'!#REF!</definedName>
    <definedName name="__123Graph_X" localSheetId="2" hidden="1">'[4]REV.C'!#REF!</definedName>
    <definedName name="__123Graph_X" hidden="1">'[4]REV.C'!#REF!</definedName>
    <definedName name="__A100000" localSheetId="0">#REF!</definedName>
    <definedName name="__A100000">#REF!</definedName>
    <definedName name="__A99999" localSheetId="0">#REF!</definedName>
    <definedName name="__A99999">#REF!</definedName>
    <definedName name="__FIL1" localSheetId="0">'Cover Report'!__FIL1</definedName>
    <definedName name="__FIL1" localSheetId="2">'Exe Sum'!__FIL1</definedName>
    <definedName name="__FIL1">[0]!__FIL1</definedName>
    <definedName name="__Man1">[2]PaintBreak!$M$55</definedName>
    <definedName name="__Man22">[2]PaintBreak!$M$56</definedName>
    <definedName name="__Mat1">[2]PaintBreak!$K$55</definedName>
    <definedName name="__Mat2">[2]PaintBreak!$K$56</definedName>
    <definedName name="__UPA100" localSheetId="0">'[3]GTS I PS'!#REF!</definedName>
    <definedName name="__UPA100">'[3]GTS I PS'!#REF!</definedName>
    <definedName name="_A100000" localSheetId="0">#REF!</definedName>
    <definedName name="_A100000">#REF!</definedName>
    <definedName name="_A99999" localSheetId="0">#REF!</definedName>
    <definedName name="_A99999">#REF!</definedName>
    <definedName name="_ANO1" localSheetId="0">#REF!</definedName>
    <definedName name="_ANO1">#REF!</definedName>
    <definedName name="_ANO2" localSheetId="0">#REF!</definedName>
    <definedName name="_ANO2">#REF!</definedName>
    <definedName name="_ANO3" localSheetId="0">#REF!</definedName>
    <definedName name="_ANO3">#REF!</definedName>
    <definedName name="_FFF1" localSheetId="0" hidden="1">{#N/A,#N/A,FALSE,"SUM_Prop";#N/A,#N/A,FALSE,"PROCESS-eng";#N/A,#N/A,FALSE,"PROCESS-com";#N/A,#N/A,FALSE,"INST-eng";#N/A,#N/A,FALSE,"INST-com"}</definedName>
    <definedName name="_FFF1" localSheetId="2" hidden="1">{#N/A,#N/A,FALSE,"SUM_Prop";#N/A,#N/A,FALSE,"PROCESS-eng";#N/A,#N/A,FALSE,"PROCESS-com";#N/A,#N/A,FALSE,"INST-eng";#N/A,#N/A,FALSE,"INST-com"}</definedName>
    <definedName name="_FFF1" hidden="1">{#N/A,#N/A,FALSE,"SUM_Prop";#N/A,#N/A,FALSE,"PROCESS-eng";#N/A,#N/A,FALSE,"PROCESS-com";#N/A,#N/A,FALSE,"INST-eng";#N/A,#N/A,FALSE,"INST-com"}</definedName>
    <definedName name="_FIL1" localSheetId="0">'Cover Report'!_FIL1</definedName>
    <definedName name="_FIL1" localSheetId="2">'Exe Sum'!_FIL1</definedName>
    <definedName name="_FIL1">[0]!_FIL1</definedName>
    <definedName name="_Fill" localSheetId="8" hidden="1">#REF!</definedName>
    <definedName name="_Fill" localSheetId="0" hidden="1">#REF!</definedName>
    <definedName name="_Fill" localSheetId="9" hidden="1">#REF!</definedName>
    <definedName name="_Fill" localSheetId="2" hidden="1">#REF!</definedName>
    <definedName name="_Fill" hidden="1">#REF!</definedName>
    <definedName name="_xlnm._FilterDatabase" localSheetId="9" hidden="1">'Doc. Submitted'!$A$10:$N$50</definedName>
    <definedName name="_xlnm._FilterDatabase" localSheetId="7" hidden="1">'Overall MDR_'!$A$14:$D$14</definedName>
    <definedName name="_Key1" hidden="1">[6]Conveyors!$A$7</definedName>
    <definedName name="_Man1">[1]PaintBreak!$M$55</definedName>
    <definedName name="_Man22">[1]PaintBreak!$M$56</definedName>
    <definedName name="_Mat1">[1]PaintBreak!$K$55</definedName>
    <definedName name="_Mat2">[1]PaintBreak!$K$56</definedName>
    <definedName name="_MatInverse_In" localSheetId="8" hidden="1">#REF!</definedName>
    <definedName name="_MatInverse_In" localSheetId="0" hidden="1">#REF!</definedName>
    <definedName name="_MatInverse_In" localSheetId="9" hidden="1">#REF!</definedName>
    <definedName name="_MatInverse_In" localSheetId="2" hidden="1">#REF!</definedName>
    <definedName name="_MatInverse_In" hidden="1">#REF!</definedName>
    <definedName name="_May01" localSheetId="0">#REF!</definedName>
    <definedName name="_May01">#REF!</definedName>
    <definedName name="_Order1" hidden="1">255</definedName>
    <definedName name="_Order2" hidden="1">0</definedName>
    <definedName name="_Q2" localSheetId="0" hidden="1">{"'Overflow Tank '!$A$1:$Q$58"}</definedName>
    <definedName name="_Q2" localSheetId="2" hidden="1">{"'Overflow Tank '!$A$1:$Q$58"}</definedName>
    <definedName name="_Q2" hidden="1">{"'Overflow Tank '!$A$1:$Q$58"}</definedName>
    <definedName name="_sc06" localSheetId="0">#REF!</definedName>
    <definedName name="_sc06">#REF!</definedName>
    <definedName name="_sc07" localSheetId="0">#REF!</definedName>
    <definedName name="_sc07">#REF!</definedName>
    <definedName name="_sc08" localSheetId="0">#REF!</definedName>
    <definedName name="_sc08">#REF!</definedName>
    <definedName name="_sc09" localSheetId="0">#REF!</definedName>
    <definedName name="_sc09">#REF!</definedName>
    <definedName name="_sc10" localSheetId="0">#REF!</definedName>
    <definedName name="_sc10">#REF!</definedName>
    <definedName name="_sc11" localSheetId="0">#REF!</definedName>
    <definedName name="_sc11">#REF!</definedName>
    <definedName name="_sc12" localSheetId="0">#REF!</definedName>
    <definedName name="_sc12">#REF!</definedName>
    <definedName name="_sc13" localSheetId="0">#REF!</definedName>
    <definedName name="_sc13">#REF!</definedName>
    <definedName name="_sc14" localSheetId="0">#REF!</definedName>
    <definedName name="_sc14">#REF!</definedName>
    <definedName name="_sc15" localSheetId="0">#REF!</definedName>
    <definedName name="_sc15">#REF!</definedName>
    <definedName name="_sc16" localSheetId="0">#REF!</definedName>
    <definedName name="_sc16">#REF!</definedName>
    <definedName name="_sc17" localSheetId="0">#REF!</definedName>
    <definedName name="_sc17">#REF!</definedName>
    <definedName name="_sc18" localSheetId="0">#REF!</definedName>
    <definedName name="_sc18">#REF!</definedName>
    <definedName name="_sc19" localSheetId="0">#REF!</definedName>
    <definedName name="_sc19">#REF!</definedName>
    <definedName name="_sc20" localSheetId="0">#REF!</definedName>
    <definedName name="_sc20">#REF!</definedName>
    <definedName name="_sc21" localSheetId="0">#REF!</definedName>
    <definedName name="_sc21">#REF!</definedName>
    <definedName name="_sc22" localSheetId="0">#REF!</definedName>
    <definedName name="_sc22">#REF!</definedName>
    <definedName name="_sc23" localSheetId="0">#REF!</definedName>
    <definedName name="_sc23">#REF!</definedName>
    <definedName name="_sc24" localSheetId="0">#REF!</definedName>
    <definedName name="_sc24">#REF!</definedName>
    <definedName name="_sc25" localSheetId="0">#REF!</definedName>
    <definedName name="_sc25">#REF!</definedName>
    <definedName name="_sc26" localSheetId="0">#REF!</definedName>
    <definedName name="_sc26">#REF!</definedName>
    <definedName name="_sc27" localSheetId="0">#REF!</definedName>
    <definedName name="_sc27">#REF!</definedName>
    <definedName name="_sc28" localSheetId="0">#REF!</definedName>
    <definedName name="_sc28">#REF!</definedName>
    <definedName name="_sc29" localSheetId="0">#REF!</definedName>
    <definedName name="_sc29">#REF!</definedName>
    <definedName name="_sc30" localSheetId="0">#REF!</definedName>
    <definedName name="_sc30">#REF!</definedName>
    <definedName name="_sc31" localSheetId="0">#REF!</definedName>
    <definedName name="_sc31">#REF!</definedName>
    <definedName name="_sc32" localSheetId="0">#REF!</definedName>
    <definedName name="_sc32">#REF!</definedName>
    <definedName name="_sc33" localSheetId="0">#REF!</definedName>
    <definedName name="_sc33">#REF!</definedName>
    <definedName name="_sc34" localSheetId="0">#REF!</definedName>
    <definedName name="_sc34">#REF!</definedName>
    <definedName name="_sc35" localSheetId="0">#REF!</definedName>
    <definedName name="_sc35">#REF!</definedName>
    <definedName name="_sc36" localSheetId="0">#REF!</definedName>
    <definedName name="_sc36">#REF!</definedName>
    <definedName name="_sc37" localSheetId="0">#REF!</definedName>
    <definedName name="_sc37">#REF!</definedName>
    <definedName name="_sc38" localSheetId="0">#REF!</definedName>
    <definedName name="_sc38">#REF!</definedName>
    <definedName name="_sc39" localSheetId="0">#REF!</definedName>
    <definedName name="_sc39">#REF!</definedName>
    <definedName name="_sc40" localSheetId="0">#REF!</definedName>
    <definedName name="_sc40">#REF!</definedName>
    <definedName name="_sc41" localSheetId="0">#REF!</definedName>
    <definedName name="_sc41">#REF!</definedName>
    <definedName name="_sc42" localSheetId="0">#REF!</definedName>
    <definedName name="_sc42">#REF!</definedName>
    <definedName name="_sc43" localSheetId="0">#REF!</definedName>
    <definedName name="_sc43">#REF!</definedName>
    <definedName name="_sc44" localSheetId="0">#REF!</definedName>
    <definedName name="_sc44">#REF!</definedName>
    <definedName name="_sc45" localSheetId="0">#REF!</definedName>
    <definedName name="_sc45">#REF!</definedName>
    <definedName name="_sc46" localSheetId="0">#REF!</definedName>
    <definedName name="_sc46">#REF!</definedName>
    <definedName name="_sc47" localSheetId="0">#REF!</definedName>
    <definedName name="_sc47">#REF!</definedName>
    <definedName name="_sc48" localSheetId="0">#REF!</definedName>
    <definedName name="_sc48">#REF!</definedName>
    <definedName name="_sc6" localSheetId="0">#REF!</definedName>
    <definedName name="_sc6">#REF!</definedName>
    <definedName name="_sc7" localSheetId="0">#REF!</definedName>
    <definedName name="_sc7">#REF!</definedName>
    <definedName name="_sc8" localSheetId="0">#REF!</definedName>
    <definedName name="_sc8">#REF!</definedName>
    <definedName name="_sc9" localSheetId="0">#REF!</definedName>
    <definedName name="_sc9">#REF!</definedName>
    <definedName name="_SO23" localSheetId="0" hidden="1">{"'Liquid'!$A$1:$U$57"}</definedName>
    <definedName name="_SO23" localSheetId="2" hidden="1">{"'Liquid'!$A$1:$U$57"}</definedName>
    <definedName name="_SO23" hidden="1">{"'Liquid'!$A$1:$U$57"}</definedName>
    <definedName name="_Sort" hidden="1">[6]Conveyors!$A$7:$S$50</definedName>
    <definedName name="_UPA100" localSheetId="0">'[3]GTS I PS'!#REF!</definedName>
    <definedName name="_UPA100">'[3]GTS I PS'!#REF!</definedName>
    <definedName name="a" localSheetId="0" hidden="1">{"'Liquid'!$A$1:$U$57"}</definedName>
    <definedName name="a" localSheetId="2" hidden="1">{"'Liquid'!$A$1:$U$57"}</definedName>
    <definedName name="a" hidden="1">{"'Liquid'!$A$1:$U$57"}</definedName>
    <definedName name="A10000000000000" localSheetId="0">#REF!</definedName>
    <definedName name="A10000000000000">#REF!</definedName>
    <definedName name="aa" localSheetId="0" hidden="1">{"'Liquid'!$A$1:$U$57"}</definedName>
    <definedName name="aa" localSheetId="2" hidden="1">{"'Liquid'!$A$1:$U$57"}</definedName>
    <definedName name="aa" hidden="1">{"'Liquid'!$A$1:$U$57"}</definedName>
    <definedName name="aaa" localSheetId="0">#REF!</definedName>
    <definedName name="aaa">#REF!</definedName>
    <definedName name="aaaa" localSheetId="0">#REF!</definedName>
    <definedName name="aaaa">#REF!</definedName>
    <definedName name="ABC" localSheetId="0">#REF!</definedName>
    <definedName name="ABC">#REF!</definedName>
    <definedName name="ACT" localSheetId="0">#REF!</definedName>
    <definedName name="ACT">#REF!</definedName>
    <definedName name="ACTIVITY" localSheetId="0">#REF!</definedName>
    <definedName name="ACTIVITY">#REF!</definedName>
    <definedName name="ADASDF" localSheetId="0" hidden="1">{#N/A,#N/A,TRUE,"toc";#N/A,#N/A,TRUE,"general";#N/A,#N/A,TRUE,"compressive";#N/A,#N/A,TRUE,"lateral";#N/A,#N/A,TRUE,"shallow"}</definedName>
    <definedName name="ADASDF" localSheetId="2" hidden="1">{#N/A,#N/A,TRUE,"toc";#N/A,#N/A,TRUE,"general";#N/A,#N/A,TRUE,"compressive";#N/A,#N/A,TRUE,"lateral";#N/A,#N/A,TRUE,"shallow"}</definedName>
    <definedName name="ADASDF" hidden="1">{#N/A,#N/A,TRUE,"toc";#N/A,#N/A,TRUE,"general";#N/A,#N/A,TRUE,"compressive";#N/A,#N/A,TRUE,"lateral";#N/A,#N/A,TRUE,"shallow"}</definedName>
    <definedName name="AKU" localSheetId="0">#REF!</definedName>
    <definedName name="AKU">#REF!</definedName>
    <definedName name="as" localSheetId="0" hidden="1">{#N/A,#N/A,FALSE,"SUM_Prop";#N/A,#N/A,FALSE,"PROCESS-eng";#N/A,#N/A,FALSE,"PROCESS-com";#N/A,#N/A,FALSE,"INST-eng";#N/A,#N/A,FALSE,"INST-com"}</definedName>
    <definedName name="as" localSheetId="2" hidden="1">{#N/A,#N/A,FALSE,"SUM_Prop";#N/A,#N/A,FALSE,"PROCESS-eng";#N/A,#N/A,FALSE,"PROCESS-com";#N/A,#N/A,FALSE,"INST-eng";#N/A,#N/A,FALSE,"INST-com"}</definedName>
    <definedName name="as" hidden="1">{#N/A,#N/A,FALSE,"SUM_Prop";#N/A,#N/A,FALSE,"PROCESS-eng";#N/A,#N/A,FALSE,"PROCESS-com";#N/A,#N/A,FALSE,"INST-eng";#N/A,#N/A,FALSE,"INST-com"}</definedName>
    <definedName name="Assignment" localSheetId="0">'Cover Report'!Assignment</definedName>
    <definedName name="Assignment" localSheetId="2">'Exe Sum'!Assignment</definedName>
    <definedName name="Assignment">[0]!Assignment</definedName>
    <definedName name="AUD" localSheetId="0">#REF!</definedName>
    <definedName name="AUD">#REF!</definedName>
    <definedName name="Avg_Cangak" localSheetId="0">#REF!</definedName>
    <definedName name="Avg_Cangak">#REF!</definedName>
    <definedName name="b" localSheetId="0" hidden="1">{#N/A,#N/A,FALSE,"SUM_Prop";#N/A,#N/A,FALSE,"PROCESS-eng";#N/A,#N/A,FALSE,"PROCESS-com";#N/A,#N/A,FALSE,"INST-eng";#N/A,#N/A,FALSE,"INST-com"}</definedName>
    <definedName name="b" localSheetId="2" hidden="1">{#N/A,#N/A,FALSE,"SUM_Prop";#N/A,#N/A,FALSE,"PROCESS-eng";#N/A,#N/A,FALSE,"PROCESS-com";#N/A,#N/A,FALSE,"INST-eng";#N/A,#N/A,FALSE,"INST-com"}</definedName>
    <definedName name="b" hidden="1">{#N/A,#N/A,FALSE,"SUM_Prop";#N/A,#N/A,FALSE,"PROCESS-eng";#N/A,#N/A,FALSE,"PROCESS-com";#N/A,#N/A,FALSE,"INST-eng";#N/A,#N/A,FALSE,"INST-com"}</definedName>
    <definedName name="bbbbbbbbbb" localSheetId="0">#REF!</definedName>
    <definedName name="bbbbbbbbbb">#REF!</definedName>
    <definedName name="BKL" localSheetId="0" hidden="1">{#N/A,#N/A,FALSE,"SUM_Prop";#N/A,#N/A,FALSE,"PROCESS-eng";#N/A,#N/A,FALSE,"PROCESS-com";#N/A,#N/A,FALSE,"INST-eng";#N/A,#N/A,FALSE,"INST-com"}</definedName>
    <definedName name="BKL" localSheetId="2" hidden="1">{#N/A,#N/A,FALSE,"SUM_Prop";#N/A,#N/A,FALSE,"PROCESS-eng";#N/A,#N/A,FALSE,"PROCESS-com";#N/A,#N/A,FALSE,"INST-eng";#N/A,#N/A,FALSE,"INST-com"}</definedName>
    <definedName name="BKL" hidden="1">{#N/A,#N/A,FALSE,"SUM_Prop";#N/A,#N/A,FALSE,"PROCESS-eng";#N/A,#N/A,FALSE,"PROCESS-com";#N/A,#N/A,FALSE,"INST-eng";#N/A,#N/A,FALSE,"INST-com"}</definedName>
    <definedName name="BOE">[7]Cover!$T$22</definedName>
    <definedName name="BookedCost" localSheetId="0">#REF!</definedName>
    <definedName name="BookedCost">#REF!</definedName>
    <definedName name="BUKIT">'[8]SD (1)'!$B$15:$N$78</definedName>
    <definedName name="CA" localSheetId="0">#REF!</definedName>
    <definedName name="CA">#REF!</definedName>
    <definedName name="cas" localSheetId="0" hidden="1">{#N/A,#N/A,FALSE,"SUM_Prop";#N/A,#N/A,FALSE,"PROCESS-eng";#N/A,#N/A,FALSE,"PROCESS-com";#N/A,#N/A,FALSE,"INST-eng";#N/A,#N/A,FALSE,"INST-com"}</definedName>
    <definedName name="cas" localSheetId="2" hidden="1">{#N/A,#N/A,FALSE,"SUM_Prop";#N/A,#N/A,FALSE,"PROCESS-eng";#N/A,#N/A,FALSE,"PROCESS-com";#N/A,#N/A,FALSE,"INST-eng";#N/A,#N/A,FALSE,"INST-com"}</definedName>
    <definedName name="cas" hidden="1">{#N/A,#N/A,FALSE,"SUM_Prop";#N/A,#N/A,FALSE,"PROCESS-eng";#N/A,#N/A,FALSE,"PROCESS-com";#N/A,#N/A,FALSE,"INST-eng";#N/A,#N/A,FALSE,"INST-com"}</definedName>
    <definedName name="CASH" localSheetId="0" hidden="1">{#N/A,#N/A,FALSE,"SUM_Prop";#N/A,#N/A,FALSE,"PROCESS-eng";#N/A,#N/A,FALSE,"PROCESS-com";#N/A,#N/A,FALSE,"INST-eng";#N/A,#N/A,FALSE,"INST-com"}</definedName>
    <definedName name="CASH" localSheetId="2" hidden="1">{#N/A,#N/A,FALSE,"SUM_Prop";#N/A,#N/A,FALSE,"PROCESS-eng";#N/A,#N/A,FALSE,"PROCESS-com";#N/A,#N/A,FALSE,"INST-eng";#N/A,#N/A,FALSE,"INST-com"}</definedName>
    <definedName name="CASH" hidden="1">{#N/A,#N/A,FALSE,"SUM_Prop";#N/A,#N/A,FALSE,"PROCESS-eng";#N/A,#N/A,FALSE,"PROCESS-com";#N/A,#N/A,FALSE,"INST-eng";#N/A,#N/A,FALSE,"INST-com"}</definedName>
    <definedName name="CASH1" localSheetId="0" hidden="1">{#N/A,#N/A,FALSE,"SUM_Prop";#N/A,#N/A,FALSE,"PROCESS-eng";#N/A,#N/A,FALSE,"PROCESS-com";#N/A,#N/A,FALSE,"INST-eng";#N/A,#N/A,FALSE,"INST-com"}</definedName>
    <definedName name="CASH1" localSheetId="2" hidden="1">{#N/A,#N/A,FALSE,"SUM_Prop";#N/A,#N/A,FALSE,"PROCESS-eng";#N/A,#N/A,FALSE,"PROCESS-com";#N/A,#N/A,FALSE,"INST-eng";#N/A,#N/A,FALSE,"INST-com"}</definedName>
    <definedName name="CASH1" hidden="1">{#N/A,#N/A,FALSE,"SUM_Prop";#N/A,#N/A,FALSE,"PROCESS-eng";#N/A,#N/A,FALSE,"PROCESS-com";#N/A,#N/A,FALSE,"INST-eng";#N/A,#N/A,FALSE,"INST-com"}</definedName>
    <definedName name="Cn100x50">[9]Sheet2!$D$5</definedName>
    <definedName name="Cn150x65">[9]Sheet2!$D$4</definedName>
    <definedName name="Cn9x15">[9]Sheet2!$D$6</definedName>
    <definedName name="coba" localSheetId="0">#REF!</definedName>
    <definedName name="coba">#REF!</definedName>
    <definedName name="Commission" localSheetId="0">#REF!</definedName>
    <definedName name="Commission">#REF!</definedName>
    <definedName name="ConToolList" localSheetId="0">#REF!</definedName>
    <definedName name="ConToolList">#REF!</definedName>
    <definedName name="Copyright" hidden="1">"© 1995 Worley Limited"</definedName>
    <definedName name="Corr.stl.sheet">[9]Sheet2!$D$21</definedName>
    <definedName name="CostUSD" localSheetId="0">#REF!</definedName>
    <definedName name="CostUSD">#REF!</definedName>
    <definedName name="Curr_table" localSheetId="0">#REF!</definedName>
    <definedName name="Curr_table">#REF!</definedName>
    <definedName name="Currency" localSheetId="0">#REF!</definedName>
    <definedName name="Currency">#REF!</definedName>
    <definedName name="Current">[1]INSSUBCON!$D$57</definedName>
    <definedName name="d1.5x.145">[9]Sheet2!$D$7</definedName>
    <definedName name="D2.0" localSheetId="0" hidden="1">{"'Liquid'!$A$1:$U$57"}</definedName>
    <definedName name="D2.0" localSheetId="2" hidden="1">{"'Liquid'!$A$1:$U$57"}</definedName>
    <definedName name="D2.0" hidden="1">{"'Liquid'!$A$1:$U$57"}</definedName>
    <definedName name="d2x.218">[9]Sheet2!$D$8</definedName>
    <definedName name="_xlnm.Database" localSheetId="8">#REF!</definedName>
    <definedName name="_xlnm.Database" localSheetId="0">#REF!</definedName>
    <definedName name="_xlnm.Database" localSheetId="9">#REF!</definedName>
    <definedName name="_xlnm.Database" localSheetId="2">#REF!</definedName>
    <definedName name="_xlnm.Database" localSheetId="4">#REF!</definedName>
    <definedName name="_xlnm.Database">#REF!</definedName>
    <definedName name="Date" localSheetId="0">#REF!</definedName>
    <definedName name="Date">#REF!</definedName>
    <definedName name="dc" localSheetId="8">#REF!</definedName>
    <definedName name="dc" localSheetId="0">#REF!</definedName>
    <definedName name="dc" localSheetId="9">#REF!</definedName>
    <definedName name="dc" localSheetId="2">#REF!</definedName>
    <definedName name="dc" localSheetId="4">#REF!</definedName>
    <definedName name="dc">#REF!</definedName>
    <definedName name="DDD" localSheetId="0" hidden="1">{"'Overflow Tank '!$A$1:$Q$58"}</definedName>
    <definedName name="DDD" localSheetId="2" hidden="1">{"'Overflow Tank '!$A$1:$Q$58"}</definedName>
    <definedName name="DDD" hidden="1">{"'Overflow Tank '!$A$1:$Q$58"}</definedName>
    <definedName name="de" localSheetId="0" hidden="1">{"'Liquid'!$A$1:$U$57"}</definedName>
    <definedName name="de" localSheetId="2" hidden="1">{"'Liquid'!$A$1:$U$57"}</definedName>
    <definedName name="de" hidden="1">{"'Liquid'!$A$1:$U$57"}</definedName>
    <definedName name="deliv" localSheetId="0" hidden="1">{"'Liquid'!$A$1:$U$57"}</definedName>
    <definedName name="deliv" localSheetId="2" hidden="1">{"'Liquid'!$A$1:$U$57"}</definedName>
    <definedName name="deliv" hidden="1">{"'Liquid'!$A$1:$U$57"}</definedName>
    <definedName name="DEM" localSheetId="0">#REF!</definedName>
    <definedName name="DEM">#REF!</definedName>
    <definedName name="DETAIL" localSheetId="0" hidden="1">{#N/A,#N/A,FALSE,"SUM_Prop";#N/A,#N/A,FALSE,"PROCESS-eng";#N/A,#N/A,FALSE,"PROCESS-com";#N/A,#N/A,FALSE,"INST-eng";#N/A,#N/A,FALSE,"INST-com"}</definedName>
    <definedName name="DETAIL" localSheetId="2" hidden="1">{#N/A,#N/A,FALSE,"SUM_Prop";#N/A,#N/A,FALSE,"PROCESS-eng";#N/A,#N/A,FALSE,"PROCESS-com";#N/A,#N/A,FALSE,"INST-eng";#N/A,#N/A,FALSE,"INST-com"}</definedName>
    <definedName name="DETAIL" hidden="1">{#N/A,#N/A,FALSE,"SUM_Prop";#N/A,#N/A,FALSE,"PROCESS-eng";#N/A,#N/A,FALSE,"PROCESS-com";#N/A,#N/A,FALSE,"INST-eng";#N/A,#N/A,FALSE,"INST-com"}</definedName>
    <definedName name="DetCostCode" localSheetId="0">#REF!</definedName>
    <definedName name="DetCostCode">#REF!</definedName>
    <definedName name="DFSDFD" localSheetId="0" hidden="1">{"'Overflow Tank '!$A$1:$Q$58"}</definedName>
    <definedName name="DFSDFD" localSheetId="2" hidden="1">{"'Overflow Tank '!$A$1:$Q$58"}</definedName>
    <definedName name="DFSDFD" hidden="1">{"'Overflow Tank '!$A$1:$Q$58"}</definedName>
    <definedName name="DOCL" localSheetId="0">#REF!</definedName>
    <definedName name="DOCL">#REF!</definedName>
    <definedName name="drawing" localSheetId="0">#REF!</definedName>
    <definedName name="drawing">#REF!</definedName>
    <definedName name="drel" localSheetId="0">#REF!</definedName>
    <definedName name="drel">#REF!</definedName>
    <definedName name="DRIM" localSheetId="0">#REF!</definedName>
    <definedName name="DRIM">#REF!</definedName>
    <definedName name="drin" localSheetId="0">#REF!</definedName>
    <definedName name="drin">#REF!</definedName>
    <definedName name="drme" localSheetId="0">#REF!</definedName>
    <definedName name="drme">#REF!</definedName>
    <definedName name="DRPI" localSheetId="0">#REF!</definedName>
    <definedName name="DRPI">#REF!</definedName>
    <definedName name="DRPR" localSheetId="0">#REF!</definedName>
    <definedName name="DRPR">#REF!</definedName>
    <definedName name="drpro" localSheetId="0">#REF!</definedName>
    <definedName name="drpro">#REF!</definedName>
    <definedName name="DRST" localSheetId="0">#REF!</definedName>
    <definedName name="DRST">#REF!</definedName>
    <definedName name="ds" localSheetId="0" hidden="1">{#N/A,#N/A,FALSE,"SUM_Prop";#N/A,#N/A,FALSE,"PROCESS-eng";#N/A,#N/A,FALSE,"PROCESS-com";#N/A,#N/A,FALSE,"INST-eng";#N/A,#N/A,FALSE,"INST-com"}</definedName>
    <definedName name="ds" localSheetId="2" hidden="1">{#N/A,#N/A,FALSE,"SUM_Prop";#N/A,#N/A,FALSE,"PROCESS-eng";#N/A,#N/A,FALSE,"PROCESS-com";#N/A,#N/A,FALSE,"INST-eng";#N/A,#N/A,FALSE,"INST-com"}</definedName>
    <definedName name="ds" hidden="1">{#N/A,#N/A,FALSE,"SUM_Prop";#N/A,#N/A,FALSE,"PROCESS-eng";#N/A,#N/A,FALSE,"PROCESS-com";#N/A,#N/A,FALSE,"INST-eng";#N/A,#N/A,FALSE,"INST-com"}</definedName>
    <definedName name="dsel" localSheetId="0">#REF!</definedName>
    <definedName name="dsel">#REF!</definedName>
    <definedName name="DSIM" localSheetId="0">#REF!</definedName>
    <definedName name="DSIM">#REF!</definedName>
    <definedName name="dsin" localSheetId="0">#REF!</definedName>
    <definedName name="dsin">#REF!</definedName>
    <definedName name="dsin1" localSheetId="0">#REF!</definedName>
    <definedName name="dsin1">#REF!</definedName>
    <definedName name="dsme" localSheetId="0">#REF!</definedName>
    <definedName name="dsme">#REF!</definedName>
    <definedName name="dsn" localSheetId="8">#REF!</definedName>
    <definedName name="dsn" localSheetId="0">#REF!</definedName>
    <definedName name="dsn" localSheetId="9">#REF!</definedName>
    <definedName name="dsn" localSheetId="2">#REF!</definedName>
    <definedName name="dsn" localSheetId="4">#REF!</definedName>
    <definedName name="dsn">#REF!</definedName>
    <definedName name="DSPI" localSheetId="0">#REF!</definedName>
    <definedName name="DSPI">#REF!</definedName>
    <definedName name="DSPR" localSheetId="0">#REF!</definedName>
    <definedName name="DSPR">#REF!</definedName>
    <definedName name="dspro" localSheetId="0">#REF!</definedName>
    <definedName name="dspro">#REF!</definedName>
    <definedName name="DSST" localSheetId="0">#REF!</definedName>
    <definedName name="DSST">#REF!</definedName>
    <definedName name="earthw" localSheetId="0" hidden="1">{"'Overflow Tank '!$A$1:$Q$58"}</definedName>
    <definedName name="earthw" localSheetId="2" hidden="1">{"'Overflow Tank '!$A$1:$Q$58"}</definedName>
    <definedName name="earthw" hidden="1">{"'Overflow Tank '!$A$1:$Q$58"}</definedName>
    <definedName name="EMGR" localSheetId="0">#REF!</definedName>
    <definedName name="EMGR">#REF!</definedName>
    <definedName name="enel" localSheetId="0">#REF!</definedName>
    <definedName name="enel">#REF!</definedName>
    <definedName name="Eng" localSheetId="0" hidden="1">{"'Liquid'!$A$1:$U$57"}</definedName>
    <definedName name="Eng" localSheetId="2" hidden="1">{"'Liquid'!$A$1:$U$57"}</definedName>
    <definedName name="Eng" hidden="1">{"'Liquid'!$A$1:$U$57"}</definedName>
    <definedName name="Eng_phases" localSheetId="0">#REF!</definedName>
    <definedName name="Eng_phases">#REF!</definedName>
    <definedName name="ENGHRSREV" hidden="1">[10]Eng_Hrs!$AE$12:$AE$173</definedName>
    <definedName name="ENIM" localSheetId="0">#REF!</definedName>
    <definedName name="ENIM">#REF!</definedName>
    <definedName name="enin" localSheetId="0">#REF!</definedName>
    <definedName name="enin">#REF!</definedName>
    <definedName name="enme" localSheetId="0">#REF!</definedName>
    <definedName name="enme">#REF!</definedName>
    <definedName name="ENPI" localSheetId="0">#REF!</definedName>
    <definedName name="ENPI">#REF!</definedName>
    <definedName name="ENPR" localSheetId="0">#REF!</definedName>
    <definedName name="ENPR">#REF!</definedName>
    <definedName name="enpro" localSheetId="0">#REF!</definedName>
    <definedName name="enpro">#REF!</definedName>
    <definedName name="ENST" localSheetId="0">#REF!</definedName>
    <definedName name="ENST">#REF!</definedName>
    <definedName name="epcm" localSheetId="0" hidden="1">{#N/A,#N/A,FALSE,"SUM_Prop";#N/A,#N/A,FALSE,"PROCESS-eng";#N/A,#N/A,FALSE,"PROCESS-com";#N/A,#N/A,FALSE,"INST-eng";#N/A,#N/A,FALSE,"INST-com"}</definedName>
    <definedName name="epcm" localSheetId="2" hidden="1">{#N/A,#N/A,FALSE,"SUM_Prop";#N/A,#N/A,FALSE,"PROCESS-eng";#N/A,#N/A,FALSE,"PROCESS-com";#N/A,#N/A,FALSE,"INST-eng";#N/A,#N/A,FALSE,"INST-com"}</definedName>
    <definedName name="epcm" hidden="1">{#N/A,#N/A,FALSE,"SUM_Prop";#N/A,#N/A,FALSE,"PROCESS-eng";#N/A,#N/A,FALSE,"PROCESS-com";#N/A,#N/A,FALSE,"INST-eng";#N/A,#N/A,FALSE,"INST-com"}</definedName>
    <definedName name="EPCM1" localSheetId="0" hidden="1">{#N/A,#N/A,FALSE,"SUM_Prop";#N/A,#N/A,FALSE,"PROCESS-eng";#N/A,#N/A,FALSE,"PROCESS-com";#N/A,#N/A,FALSE,"INST-eng";#N/A,#N/A,FALSE,"INST-com"}</definedName>
    <definedName name="EPCM1" localSheetId="2" hidden="1">{#N/A,#N/A,FALSE,"SUM_Prop";#N/A,#N/A,FALSE,"PROCESS-eng";#N/A,#N/A,FALSE,"PROCESS-com";#N/A,#N/A,FALSE,"INST-eng";#N/A,#N/A,FALSE,"INST-com"}</definedName>
    <definedName name="EPCM1" hidden="1">{#N/A,#N/A,FALSE,"SUM_Prop";#N/A,#N/A,FALSE,"PROCESS-eng";#N/A,#N/A,FALSE,"PROCESS-com";#N/A,#N/A,FALSE,"INST-eng";#N/A,#N/A,FALSE,"INST-com"}</definedName>
    <definedName name="epcm2" localSheetId="0" hidden="1">{#N/A,#N/A,FALSE,"SUM_Prop";#N/A,#N/A,FALSE,"PROCESS-eng";#N/A,#N/A,FALSE,"PROCESS-com";#N/A,#N/A,FALSE,"INST-eng";#N/A,#N/A,FALSE,"INST-com"}</definedName>
    <definedName name="epcm2" localSheetId="2" hidden="1">{#N/A,#N/A,FALSE,"SUM_Prop";#N/A,#N/A,FALSE,"PROCESS-eng";#N/A,#N/A,FALSE,"PROCESS-com";#N/A,#N/A,FALSE,"INST-eng";#N/A,#N/A,FALSE,"INST-com"}</definedName>
    <definedName name="epcm2" hidden="1">{#N/A,#N/A,FALSE,"SUM_Prop";#N/A,#N/A,FALSE,"PROCESS-eng";#N/A,#N/A,FALSE,"PROCESS-com";#N/A,#N/A,FALSE,"INST-eng";#N/A,#N/A,FALSE,"INST-com"}</definedName>
    <definedName name="EPCM3" localSheetId="0" hidden="1">{#N/A,#N/A,FALSE,"SUM_Prop";#N/A,#N/A,FALSE,"PROCESS-eng";#N/A,#N/A,FALSE,"PROCESS-com";#N/A,#N/A,FALSE,"INST-eng";#N/A,#N/A,FALSE,"INST-com"}</definedName>
    <definedName name="EPCM3" localSheetId="2" hidden="1">{#N/A,#N/A,FALSE,"SUM_Prop";#N/A,#N/A,FALSE,"PROCESS-eng";#N/A,#N/A,FALSE,"PROCESS-com";#N/A,#N/A,FALSE,"INST-eng";#N/A,#N/A,FALSE,"INST-com"}</definedName>
    <definedName name="EPCM3" hidden="1">{#N/A,#N/A,FALSE,"SUM_Prop";#N/A,#N/A,FALSE,"PROCESS-eng";#N/A,#N/A,FALSE,"PROCESS-com";#N/A,#N/A,FALSE,"INST-eng";#N/A,#N/A,FALSE,"INST-com"}</definedName>
    <definedName name="esc_percent" localSheetId="0">#REF!</definedName>
    <definedName name="esc_percent">#REF!</definedName>
    <definedName name="esc_year" localSheetId="0">#REF!</definedName>
    <definedName name="esc_year">#REF!</definedName>
    <definedName name="EUR" localSheetId="0">#REF!</definedName>
    <definedName name="EUR">#REF!</definedName>
    <definedName name="Excel_BuiltIn__FilterDatabase_1" localSheetId="0">#REF!</definedName>
    <definedName name="Excel_BuiltIn__FilterDatabase_1">#REF!</definedName>
    <definedName name="Exp_phases" localSheetId="0">#REF!</definedName>
    <definedName name="Exp_phases">#REF!</definedName>
    <definedName name="ExtractData">[11]!ExtractData</definedName>
    <definedName name="f" localSheetId="0">'[3]GTS I PS'!#REF!</definedName>
    <definedName name="f">'[3]GTS I PS'!#REF!</definedName>
    <definedName name="FA" localSheetId="0" hidden="1">{"'Overflow Tank '!$A$1:$Q$58"}</definedName>
    <definedName name="FA" localSheetId="2" hidden="1">{"'Overflow Tank '!$A$1:$Q$58"}</definedName>
    <definedName name="FA" hidden="1">{"'Overflow Tank '!$A$1:$Q$58"}</definedName>
    <definedName name="FAF" localSheetId="0" hidden="1">{#N/A,#N/A,FALSE,"SUM_Prop";#N/A,#N/A,FALSE,"PROCESS-eng";#N/A,#N/A,FALSE,"PROCESS-com";#N/A,#N/A,FALSE,"INST-eng";#N/A,#N/A,FALSE,"INST-com"}</definedName>
    <definedName name="FAF" localSheetId="2" hidden="1">{#N/A,#N/A,FALSE,"SUM_Prop";#N/A,#N/A,FALSE,"PROCESS-eng";#N/A,#N/A,FALSE,"PROCESS-com";#N/A,#N/A,FALSE,"INST-eng";#N/A,#N/A,FALSE,"INST-com"}</definedName>
    <definedName name="FAF" hidden="1">{#N/A,#N/A,FALSE,"SUM_Prop";#N/A,#N/A,FALSE,"PROCESS-eng";#N/A,#N/A,FALSE,"PROCESS-com";#N/A,#N/A,FALSE,"INST-eng";#N/A,#N/A,FALSE,"INST-com"}</definedName>
    <definedName name="FAS" localSheetId="0" hidden="1">{#N/A,#N/A,FALSE,"SUM_Prop";#N/A,#N/A,FALSE,"PROCESS-eng";#N/A,#N/A,FALSE,"PROCESS-com";#N/A,#N/A,FALSE,"INST-eng";#N/A,#N/A,FALSE,"INST-com"}</definedName>
    <definedName name="FAS" localSheetId="2" hidden="1">{#N/A,#N/A,FALSE,"SUM_Prop";#N/A,#N/A,FALSE,"PROCESS-eng";#N/A,#N/A,FALSE,"PROCESS-com";#N/A,#N/A,FALSE,"INST-eng";#N/A,#N/A,FALSE,"INST-com"}</definedName>
    <definedName name="FAS" hidden="1">{#N/A,#N/A,FALSE,"SUM_Prop";#N/A,#N/A,FALSE,"PROCESS-eng";#N/A,#N/A,FALSE,"PROCESS-com";#N/A,#N/A,FALSE,"INST-eng";#N/A,#N/A,FALSE,"INST-com"}</definedName>
    <definedName name="FASF" localSheetId="0" hidden="1">{"'Overflow Tank '!$A$1:$Q$58"}</definedName>
    <definedName name="FASF" localSheetId="2" hidden="1">{"'Overflow Tank '!$A$1:$Q$58"}</definedName>
    <definedName name="FASF" hidden="1">{"'Overflow Tank '!$A$1:$Q$58"}</definedName>
    <definedName name="ff" localSheetId="0" hidden="1">{"'Liquid'!$A$1:$U$57"}</definedName>
    <definedName name="ff" localSheetId="2" hidden="1">{"'Liquid'!$A$1:$U$57"}</definedName>
    <definedName name="ff" hidden="1">{"'Liquid'!$A$1:$U$57"}</definedName>
    <definedName name="fff" localSheetId="0" hidden="1">{#N/A,#N/A,FALSE,"SUM_Prop";#N/A,#N/A,FALSE,"PROCESS-eng";#N/A,#N/A,FALSE,"PROCESS-com";#N/A,#N/A,FALSE,"INST-eng";#N/A,#N/A,FALSE,"INST-com"}</definedName>
    <definedName name="fff" localSheetId="2" hidden="1">{#N/A,#N/A,FALSE,"SUM_Prop";#N/A,#N/A,FALSE,"PROCESS-eng";#N/A,#N/A,FALSE,"PROCESS-com";#N/A,#N/A,FALSE,"INST-eng";#N/A,#N/A,FALSE,"INST-com"}</definedName>
    <definedName name="fff" hidden="1">{#N/A,#N/A,FALSE,"SUM_Prop";#N/A,#N/A,FALSE,"PROCESS-eng";#N/A,#N/A,FALSE,"PROCESS-com";#N/A,#N/A,FALSE,"INST-eng";#N/A,#N/A,FALSE,"INST-com"}</definedName>
    <definedName name="FIL" localSheetId="0">'Cover Report'!FIL</definedName>
    <definedName name="FIL" localSheetId="2">'Exe Sum'!FIL</definedName>
    <definedName name="FIL">[0]!FIL</definedName>
    <definedName name="FILL" localSheetId="0">'Cover Report'!FILL</definedName>
    <definedName name="FILL" localSheetId="2">'Exe Sum'!FILL</definedName>
    <definedName name="FILL" localSheetId="4">'S-Overall'!FILL</definedName>
    <definedName name="FILL">[0]!FILL</definedName>
    <definedName name="Flatb">[9]Sheet2!$D$9</definedName>
    <definedName name="Flights" localSheetId="0">#REF!</definedName>
    <definedName name="Flights">#REF!</definedName>
    <definedName name="Flights1" localSheetId="0">#REF!</definedName>
    <definedName name="Flights1">#REF!</definedName>
    <definedName name="Flights2" localSheetId="0">#REF!</definedName>
    <definedName name="Flights2">#REF!</definedName>
    <definedName name="fr" localSheetId="0" hidden="1">{"'Liquid'!$A$1:$U$57"}</definedName>
    <definedName name="fr" localSheetId="2" hidden="1">{"'Liquid'!$A$1:$U$57"}</definedName>
    <definedName name="fr" hidden="1">{"'Liquid'!$A$1:$U$57"}</definedName>
    <definedName name="FRF" localSheetId="0">#REF!</definedName>
    <definedName name="FRF">#REF!</definedName>
    <definedName name="FSE" localSheetId="0" hidden="1">{#N/A,#N/A,FALSE,"SUM_Prop";#N/A,#N/A,FALSE,"PROCESS-eng";#N/A,#N/A,FALSE,"PROCESS-com";#N/A,#N/A,FALSE,"INST-eng";#N/A,#N/A,FALSE,"INST-com"}</definedName>
    <definedName name="FSE" localSheetId="2" hidden="1">{#N/A,#N/A,FALSE,"SUM_Prop";#N/A,#N/A,FALSE,"PROCESS-eng";#N/A,#N/A,FALSE,"PROCESS-com";#N/A,#N/A,FALSE,"INST-eng";#N/A,#N/A,FALSE,"INST-com"}</definedName>
    <definedName name="FSE" hidden="1">{#N/A,#N/A,FALSE,"SUM_Prop";#N/A,#N/A,FALSE,"PROCESS-eng";#N/A,#N/A,FALSE,"PROCESS-com";#N/A,#N/A,FALSE,"INST-eng";#N/A,#N/A,FALSE,"INST-com"}</definedName>
    <definedName name="g" localSheetId="0" hidden="1">{"'Liquid'!$A$1:$U$57"}</definedName>
    <definedName name="g" localSheetId="2" hidden="1">{"'Liquid'!$A$1:$U$57"}</definedName>
    <definedName name="g" hidden="1">{"'Liquid'!$A$1:$U$57"}</definedName>
    <definedName name="GBP" localSheetId="0">#REF!</definedName>
    <definedName name="GBP">#REF!</definedName>
    <definedName name="gen" localSheetId="0" hidden="1">{"'Liquid'!$A$1:$U$57"}</definedName>
    <definedName name="gen" localSheetId="2" hidden="1">{"'Liquid'!$A$1:$U$57"}</definedName>
    <definedName name="gen" hidden="1">{"'Liquid'!$A$1:$U$57"}</definedName>
    <definedName name="General" localSheetId="0" hidden="1">{"'Liquid'!$A$1:$U$57"}</definedName>
    <definedName name="General" localSheetId="2" hidden="1">{"'Liquid'!$A$1:$U$57"}</definedName>
    <definedName name="General" hidden="1">{"'Liquid'!$A$1:$U$57"}</definedName>
    <definedName name="Gratting">[9]Sheet2!$D$10</definedName>
    <definedName name="gt" localSheetId="0" hidden="1">{"'Liquid'!$A$1:$U$57"}</definedName>
    <definedName name="gt" localSheetId="2" hidden="1">{"'Liquid'!$A$1:$U$57"}</definedName>
    <definedName name="gt" hidden="1">{"'Liquid'!$A$1:$U$57"}</definedName>
    <definedName name="HO_Eng" localSheetId="0">#REF!</definedName>
    <definedName name="HO_Eng">#REF!</definedName>
    <definedName name="HO_Exp" localSheetId="0">#REF!</definedName>
    <definedName name="HO_Exp">#REF!</definedName>
    <definedName name="HSEM">[12]PMT!$H$22</definedName>
    <definedName name="HTML_CodePage" hidden="1">1252</definedName>
    <definedName name="HTML_Control" localSheetId="0" hidden="1">{"'Liquid'!$A$1:$U$57"}</definedName>
    <definedName name="HTML_Control" localSheetId="2" hidden="1">{"'Liquid'!$A$1:$U$57"}</definedName>
    <definedName name="HTML_Control" hidden="1">{"'Liquid'!$A$1:$U$57"}</definedName>
    <definedName name="HTML_Description" hidden="1">""</definedName>
    <definedName name="HTML_Email" hidden="1">""</definedName>
    <definedName name="HTML_Header" hidden="1">"Liquid"</definedName>
    <definedName name="HTML_LastUpdate" hidden="1">"12/20/99"</definedName>
    <definedName name="HTML_LineAfter" hidden="1">FALSE</definedName>
    <definedName name="HTML_LineBefore" hidden="1">FALSE</definedName>
    <definedName name="HTML_Name" hidden="1">"Angela Dian S. Dewi"</definedName>
    <definedName name="HTML_OBDlg2" hidden="1">TRUE</definedName>
    <definedName name="HTML_OBDlg4" hidden="1">TRUE</definedName>
    <definedName name="HTML_OS" hidden="1">0</definedName>
    <definedName name="HTML_PathFile" hidden="1">"C:\DIC\HTML\Resources\References\Manuals\Line sizing\Line-liquid.htm"</definedName>
    <definedName name="HTML_Title" hidden="1">"Line sizing - liq"</definedName>
    <definedName name="INS" localSheetId="0" hidden="1">{#N/A,#N/A,FALSE,"SUM_Prop";#N/A,#N/A,FALSE,"PROCESS-eng";#N/A,#N/A,FALSE,"PROCESS-com";#N/A,#N/A,FALSE,"INST-eng";#N/A,#N/A,FALSE,"INST-com"}</definedName>
    <definedName name="INS" localSheetId="2" hidden="1">{#N/A,#N/A,FALSE,"SUM_Prop";#N/A,#N/A,FALSE,"PROCESS-eng";#N/A,#N/A,FALSE,"PROCESS-com";#N/A,#N/A,FALSE,"INST-eng";#N/A,#N/A,FALSE,"INST-com"}</definedName>
    <definedName name="INS" hidden="1">{#N/A,#N/A,FALSE,"SUM_Prop";#N/A,#N/A,FALSE,"PROCESS-eng";#N/A,#N/A,FALSE,"PROCESS-com";#N/A,#N/A,FALSE,"INST-eng";#N/A,#N/A,FALSE,"INST-com"}</definedName>
    <definedName name="INST" localSheetId="0" hidden="1">{#N/A,#N/A,FALSE,"SUM_Prop";#N/A,#N/A,FALSE,"PROCESS-eng";#N/A,#N/A,FALSE,"PROCESS-com";#N/A,#N/A,FALSE,"INST-eng";#N/A,#N/A,FALSE,"INST-com"}</definedName>
    <definedName name="INST" localSheetId="2" hidden="1">{#N/A,#N/A,FALSE,"SUM_Prop";#N/A,#N/A,FALSE,"PROCESS-eng";#N/A,#N/A,FALSE,"PROCESS-com";#N/A,#N/A,FALSE,"INST-eng";#N/A,#N/A,FALSE,"INST-com"}</definedName>
    <definedName name="INST" hidden="1">{#N/A,#N/A,FALSE,"SUM_Prop";#N/A,#N/A,FALSE,"PROCESS-eng";#N/A,#N/A,FALSE,"PROCESS-com";#N/A,#N/A,FALSE,"INST-eng";#N/A,#N/A,FALSE,"INST-com"}</definedName>
    <definedName name="INST1" localSheetId="0" hidden="1">{#N/A,#N/A,FALSE,"SUM_Prop";#N/A,#N/A,FALSE,"PROCESS-eng";#N/A,#N/A,FALSE,"PROCESS-com";#N/A,#N/A,FALSE,"INST-eng";#N/A,#N/A,FALSE,"INST-com"}</definedName>
    <definedName name="INST1" localSheetId="2" hidden="1">{#N/A,#N/A,FALSE,"SUM_Prop";#N/A,#N/A,FALSE,"PROCESS-eng";#N/A,#N/A,FALSE,"PROCESS-com";#N/A,#N/A,FALSE,"INST-eng";#N/A,#N/A,FALSE,"INST-com"}</definedName>
    <definedName name="INST1" hidden="1">{#N/A,#N/A,FALSE,"SUM_Prop";#N/A,#N/A,FALSE,"PROCESS-eng";#N/A,#N/A,FALSE,"PROCESS-com";#N/A,#N/A,FALSE,"INST-eng";#N/A,#N/A,FALSE,"INST-com"}</definedName>
    <definedName name="JAGAT">'[8]SD (1)'!$B$15:$M$78</definedName>
    <definedName name="JJ" localSheetId="0">'[3]GTS I PS'!#REF!</definedName>
    <definedName name="JJ">'[3]GTS I PS'!#REF!</definedName>
    <definedName name="JOB" localSheetId="0">#REF!</definedName>
    <definedName name="JOB">#REF!</definedName>
    <definedName name="L2x2x3">[9]Sheet2!$D$11</definedName>
    <definedName name="L3x3x1">[9]Sheet2!$D$12</definedName>
    <definedName name="list1">'[13]41,9&amp;36,3'!$B$11:$AK$96</definedName>
    <definedName name="list2" localSheetId="0" hidden="1">{"'Liquid'!$A$1:$U$57"}</definedName>
    <definedName name="list2" localSheetId="2" hidden="1">{"'Liquid'!$A$1:$U$57"}</definedName>
    <definedName name="list2" hidden="1">{"'Liquid'!$A$1:$U$57"}</definedName>
    <definedName name="m" localSheetId="0" hidden="1">{#N/A,#N/A,FALSE,"SUM_Prop";#N/A,#N/A,FALSE,"PROCESS-eng";#N/A,#N/A,FALSE,"PROCESS-com";#N/A,#N/A,FALSE,"INST-eng";#N/A,#N/A,FALSE,"INST-com"}</definedName>
    <definedName name="m" localSheetId="2" hidden="1">{#N/A,#N/A,FALSE,"SUM_Prop";#N/A,#N/A,FALSE,"PROCESS-eng";#N/A,#N/A,FALSE,"PROCESS-com";#N/A,#N/A,FALSE,"INST-eng";#N/A,#N/A,FALSE,"INST-com"}</definedName>
    <definedName name="m" hidden="1">{#N/A,#N/A,FALSE,"SUM_Prop";#N/A,#N/A,FALSE,"PROCESS-eng";#N/A,#N/A,FALSE,"PROCESS-com";#N/A,#N/A,FALSE,"INST-eng";#N/A,#N/A,FALSE,"INST-com"}</definedName>
    <definedName name="Macc" localSheetId="0">#REF!</definedName>
    <definedName name="Macc">#REF!</definedName>
    <definedName name="Macc_header" localSheetId="0">#REF!</definedName>
    <definedName name="Macc_header">#REF!</definedName>
    <definedName name="Macc_sum" localSheetId="0">#REF!</definedName>
    <definedName name="Macc_sum">#REF!</definedName>
    <definedName name="manhour_rate" localSheetId="0">'[14]CTRs (HOURS) '!#REF!</definedName>
    <definedName name="manhour_rate">'[14]CTRs (HOURS) '!#REF!</definedName>
    <definedName name="manhours" localSheetId="0">'[14]CTRs (HOURS) '!#REF!</definedName>
    <definedName name="manhours">'[14]CTRs (HOURS) '!#REF!</definedName>
    <definedName name="mm" localSheetId="0" hidden="1">{"'Liquid'!$A$1:$U$57"}</definedName>
    <definedName name="mm" localSheetId="2" hidden="1">{"'Liquid'!$A$1:$U$57"}</definedName>
    <definedName name="mm" hidden="1">{"'Liquid'!$A$1:$U$57"}</definedName>
    <definedName name="Model" localSheetId="0" hidden="1">{#N/A,#N/A,FALSE,"Deckblatt";#N/A,#N/A,FALSE,"KABEL";#N/A,#N/A,FALSE,"MATERIAL";#N/A,#N/A,FALSE,"DBHK"}</definedName>
    <definedName name="Model" localSheetId="2" hidden="1">{#N/A,#N/A,FALSE,"Deckblatt";#N/A,#N/A,FALSE,"KABEL";#N/A,#N/A,FALSE,"MATERIAL";#N/A,#N/A,FALSE,"DBHK"}</definedName>
    <definedName name="Model" hidden="1">{#N/A,#N/A,FALSE,"Deckblatt";#N/A,#N/A,FALSE,"KABEL";#N/A,#N/A,FALSE,"MATERIAL";#N/A,#N/A,FALSE,"DBHK"}</definedName>
    <definedName name="MODEL1" localSheetId="0" hidden="1">{#N/A,#N/A,FALSE,"SUM_Prop";#N/A,#N/A,FALSE,"PROCESS-eng";#N/A,#N/A,FALSE,"PROCESS-com";#N/A,#N/A,FALSE,"INST-eng";#N/A,#N/A,FALSE,"INST-com"}</definedName>
    <definedName name="MODEL1" localSheetId="2" hidden="1">{#N/A,#N/A,FALSE,"SUM_Prop";#N/A,#N/A,FALSE,"PROCESS-eng";#N/A,#N/A,FALSE,"PROCESS-com";#N/A,#N/A,FALSE,"INST-eng";#N/A,#N/A,FALSE,"INST-com"}</definedName>
    <definedName name="MODEL1" hidden="1">{#N/A,#N/A,FALSE,"SUM_Prop";#N/A,#N/A,FALSE,"PROCESS-eng";#N/A,#N/A,FALSE,"PROCESS-com";#N/A,#N/A,FALSE,"INST-eng";#N/A,#N/A,FALSE,"INST-com"}</definedName>
    <definedName name="MP" localSheetId="0">#REF!</definedName>
    <definedName name="MP">#REF!</definedName>
    <definedName name="MRDate" localSheetId="0">#REF!</definedName>
    <definedName name="MRDate">#REF!</definedName>
    <definedName name="MrName" localSheetId="0">#REF!</definedName>
    <definedName name="MrName">#REF!</definedName>
    <definedName name="n" localSheetId="0" hidden="1">{#N/A,#N/A,FALSE,"SUM_Prop";#N/A,#N/A,FALSE,"PROCESS-eng";#N/A,#N/A,FALSE,"PROCESS-com";#N/A,#N/A,FALSE,"INST-eng";#N/A,#N/A,FALSE,"INST-com"}</definedName>
    <definedName name="n" localSheetId="2" hidden="1">{#N/A,#N/A,FALSE,"SUM_Prop";#N/A,#N/A,FALSE,"PROCESS-eng";#N/A,#N/A,FALSE,"PROCESS-com";#N/A,#N/A,FALSE,"INST-eng";#N/A,#N/A,FALSE,"INST-com"}</definedName>
    <definedName name="n" hidden="1">{#N/A,#N/A,FALSE,"SUM_Prop";#N/A,#N/A,FALSE,"PROCESS-eng";#N/A,#N/A,FALSE,"PROCESS-com";#N/A,#N/A,FALSE,"INST-eng";#N/A,#N/A,FALSE,"INST-com"}</definedName>
    <definedName name="NOK" localSheetId="0">#REF!</definedName>
    <definedName name="NOK">#REF!</definedName>
    <definedName name="Number_Personnel" localSheetId="0">'[14]CTRs (HOURS) '!#REF!</definedName>
    <definedName name="Number_Personnel">'[14]CTRs (HOURS) '!#REF!</definedName>
    <definedName name="ok" localSheetId="0" hidden="1">{"'Liquid'!$A$1:$U$57"}</definedName>
    <definedName name="ok" localSheetId="2" hidden="1">{"'Liquid'!$A$1:$U$57"}</definedName>
    <definedName name="ok" hidden="1">{"'Liquid'!$A$1:$U$57"}</definedName>
    <definedName name="OLE_LINK1_1" localSheetId="0">#REF!</definedName>
    <definedName name="OLE_LINK1_1">#REF!</definedName>
    <definedName name="ONPLOT_REV1" localSheetId="0">#REF!</definedName>
    <definedName name="ONPLOT_REV1">#REF!</definedName>
    <definedName name="P_Test" localSheetId="0">#REF!</definedName>
    <definedName name="P_Test">#REF!</definedName>
    <definedName name="PaintSpare" localSheetId="0">#REF!</definedName>
    <definedName name="PaintSpare">#REF!</definedName>
    <definedName name="PCCE">[12]PMT!$K$22</definedName>
    <definedName name="PCSE">[12]PMT!$J$22</definedName>
    <definedName name="PENG" localSheetId="0">#REF!</definedName>
    <definedName name="PENG">#REF!</definedName>
    <definedName name="Platf" localSheetId="0">#REF!</definedName>
    <definedName name="Platf">#REF!</definedName>
    <definedName name="PM" localSheetId="0">#REF!</definedName>
    <definedName name="PM">#REF!</definedName>
    <definedName name="PMGR">[12]PMT!$F$22</definedName>
    <definedName name="pmn" localSheetId="8">#REF!</definedName>
    <definedName name="pmn" localSheetId="0">#REF!</definedName>
    <definedName name="pmn" localSheetId="9">#REF!</definedName>
    <definedName name="pmn" localSheetId="2">#REF!</definedName>
    <definedName name="pmn" localSheetId="4">#REF!</definedName>
    <definedName name="pmn">#REF!</definedName>
    <definedName name="previous" localSheetId="0">#REF!</definedName>
    <definedName name="previous">#REF!</definedName>
    <definedName name="_xlnm.Print_Area" localSheetId="3">'Appendix A'!$A$1:$P$66</definedName>
    <definedName name="_xlnm.Print_Area" localSheetId="6">'Appendix B'!$A$1:$P$65</definedName>
    <definedName name="_xlnm.Print_Area" localSheetId="8">'Appendix C'!$A$1:$P$67</definedName>
    <definedName name="_xlnm.Print_Area" localSheetId="0">'Cover Report'!$B$2:$Q$36</definedName>
    <definedName name="_xlnm.Print_Area" localSheetId="9">'Doc. Submitted'!$A$1:$N$50</definedName>
    <definedName name="_xlnm.Print_Area" localSheetId="2">'Exe Sum'!$A$1:$T$47</definedName>
    <definedName name="_xlnm.Print_Area" localSheetId="7">'Overall MDR_'!$A$1:$AE$38</definedName>
    <definedName name="_xlnm.Print_Area" localSheetId="4">'S-Overall'!$A$1:$AG$71</definedName>
    <definedName name="_xlnm.Print_Area" localSheetId="1">TOC!$A$1:$N$73</definedName>
    <definedName name="_xlnm.Print_Area">#REF!</definedName>
    <definedName name="Print_Area_MI" localSheetId="0">#REF!</definedName>
    <definedName name="Print_Area_MI">#REF!</definedName>
    <definedName name="_xlnm.Print_Titles" localSheetId="0">#REF!</definedName>
    <definedName name="_xlnm.Print_Titles">#REF!</definedName>
    <definedName name="PRINT_TITLES_MI" localSheetId="0">#REF!</definedName>
    <definedName name="PRINT_TITLES_MI">#REF!</definedName>
    <definedName name="PSCE" localSheetId="0">#REF!</definedName>
    <definedName name="PSCE">#REF!</definedName>
    <definedName name="QA" localSheetId="8">#REF!</definedName>
    <definedName name="QA" localSheetId="0">#REF!</definedName>
    <definedName name="QA" localSheetId="9">#REF!</definedName>
    <definedName name="QA" localSheetId="2">#REF!</definedName>
    <definedName name="QA" localSheetId="4">#REF!</definedName>
    <definedName name="QA">#REF!</definedName>
    <definedName name="RATE" localSheetId="0">#REF!</definedName>
    <definedName name="RATE">#REF!</definedName>
    <definedName name="Rates" localSheetId="0">#REF!</definedName>
    <definedName name="Rates">#REF!</definedName>
    <definedName name="reqs" localSheetId="0">#REF!</definedName>
    <definedName name="reqs">#REF!</definedName>
    <definedName name="Rodb">[9]Sheet2!$D$13</definedName>
    <definedName name="Rp" localSheetId="8">#REF!</definedName>
    <definedName name="Rp" localSheetId="0">#REF!</definedName>
    <definedName name="Rp" localSheetId="9">#REF!</definedName>
    <definedName name="Rp" localSheetId="2">#REF!</definedName>
    <definedName name="Rp">#REF!</definedName>
    <definedName name="S" localSheetId="0" hidden="1">{"'Liquid'!$A$1:$U$57"}</definedName>
    <definedName name="S" localSheetId="2" hidden="1">{"'Liquid'!$A$1:$U$57"}</definedName>
    <definedName name="S" hidden="1">{"'Liquid'!$A$1:$U$57"}</definedName>
    <definedName name="SD" localSheetId="0">#REF!</definedName>
    <definedName name="SD">#REF!</definedName>
    <definedName name="sdsd">[15]ExcRate!$A$2:$A$450</definedName>
    <definedName name="sdw">[15]ExcRate!$A$2:$A$450</definedName>
    <definedName name="SE" localSheetId="0">#REF!</definedName>
    <definedName name="SE">#REF!</definedName>
    <definedName name="sec" localSheetId="8">#REF!</definedName>
    <definedName name="sec" localSheetId="0">#REF!</definedName>
    <definedName name="sec" localSheetId="9">#REF!</definedName>
    <definedName name="sec" localSheetId="2">#REF!</definedName>
    <definedName name="sec" localSheetId="4">#REF!</definedName>
    <definedName name="sec">#REF!</definedName>
    <definedName name="seel" localSheetId="0">#REF!</definedName>
    <definedName name="seel">#REF!</definedName>
    <definedName name="SEIM" localSheetId="0">#REF!</definedName>
    <definedName name="SEIM">#REF!</definedName>
    <definedName name="sein" localSheetId="0">#REF!</definedName>
    <definedName name="sein">#REF!</definedName>
    <definedName name="seme" localSheetId="0">#REF!</definedName>
    <definedName name="seme">#REF!</definedName>
    <definedName name="sen" localSheetId="8">#REF!</definedName>
    <definedName name="sen" localSheetId="0">#REF!</definedName>
    <definedName name="sen" localSheetId="9">#REF!</definedName>
    <definedName name="sen" localSheetId="2">#REF!</definedName>
    <definedName name="sen" localSheetId="4">#REF!</definedName>
    <definedName name="sen">#REF!</definedName>
    <definedName name="SEPI" localSheetId="0">#REF!</definedName>
    <definedName name="SEPI">#REF!</definedName>
    <definedName name="SEPR" localSheetId="0">#REF!</definedName>
    <definedName name="SEPR">#REF!</definedName>
    <definedName name="sepro" localSheetId="0">#REF!</definedName>
    <definedName name="sepro">#REF!</definedName>
    <definedName name="SEST" localSheetId="0">#REF!</definedName>
    <definedName name="SEST">#REF!</definedName>
    <definedName name="SFR" localSheetId="0">#REF!</definedName>
    <definedName name="SFR">#REF!</definedName>
    <definedName name="SGD" localSheetId="0">#REF!</definedName>
    <definedName name="SGD">#REF!</definedName>
    <definedName name="Siterate" localSheetId="0">#REF!</definedName>
    <definedName name="Siterate">#REF!</definedName>
    <definedName name="SpareIns" localSheetId="0">#REF!</definedName>
    <definedName name="SpareIns">#REF!</definedName>
    <definedName name="ss" localSheetId="0" hidden="1">{"'Liquid'!$A$1:$U$57"}</definedName>
    <definedName name="ss" localSheetId="2" hidden="1">{"'Liquid'!$A$1:$U$57"}</definedName>
    <definedName name="ss" hidden="1">{"'Liquid'!$A$1:$U$57"}</definedName>
    <definedName name="Structrl" localSheetId="0" hidden="1">{"'Liquid'!$A$1:$U$57"}</definedName>
    <definedName name="Structrl" localSheetId="2" hidden="1">{"'Liquid'!$A$1:$U$57"}</definedName>
    <definedName name="Structrl" hidden="1">{"'Liquid'!$A$1:$U$57"}</definedName>
    <definedName name="Summary" localSheetId="0">#REF!</definedName>
    <definedName name="Summary">#REF!</definedName>
    <definedName name="supplyinstall_data" localSheetId="0">#REF!</definedName>
    <definedName name="supplyinstall_data">#REF!</definedName>
    <definedName name="Supvn" localSheetId="0">#REF!</definedName>
    <definedName name="Supvn">#REF!</definedName>
    <definedName name="SWK" localSheetId="0">#REF!</definedName>
    <definedName name="SWK">#REF!</definedName>
    <definedName name="TE" localSheetId="0">#REF!</definedName>
    <definedName name="TE">#REF!</definedName>
    <definedName name="TES" localSheetId="0" hidden="1">{#N/A,#N/A,TRUE,"toc";#N/A,#N/A,TRUE,"general";#N/A,#N/A,TRUE,"compressive";#N/A,#N/A,TRUE,"lateral";#N/A,#N/A,TRUE,"shallow"}</definedName>
    <definedName name="TES" localSheetId="2" hidden="1">{#N/A,#N/A,TRUE,"toc";#N/A,#N/A,TRUE,"general";#N/A,#N/A,TRUE,"compressive";#N/A,#N/A,TRUE,"lateral";#N/A,#N/A,TRUE,"shallow"}</definedName>
    <definedName name="TES" hidden="1">{#N/A,#N/A,TRUE,"toc";#N/A,#N/A,TRUE,"general";#N/A,#N/A,TRUE,"compressive";#N/A,#N/A,TRUE,"lateral";#N/A,#N/A,TRUE,"shallow"}</definedName>
    <definedName name="test" localSheetId="0" hidden="1">{"'Overflow Tank '!$A$1:$Q$58"}</definedName>
    <definedName name="test" localSheetId="2" hidden="1">{"'Overflow Tank '!$A$1:$Q$58"}</definedName>
    <definedName name="test" hidden="1">{"'Overflow Tank '!$A$1:$Q$58"}</definedName>
    <definedName name="TITLE" localSheetId="0">#REF!</definedName>
    <definedName name="TITLE">#REF!</definedName>
    <definedName name="TN_Monthly__R_May_00_xlw_Project_Executive_Summary_List" localSheetId="0">#REF!</definedName>
    <definedName name="TN_Monthly__R_May_00_xlw_Project_Executive_Summary_List">#REF!</definedName>
    <definedName name="Tool1">[1]PaintBreak!$L$55</definedName>
    <definedName name="Tool2">[1]PaintBreak!$L$56</definedName>
    <definedName name="TQ" localSheetId="0" hidden="1">{"'Liquid'!$A$1:$U$57"}</definedName>
    <definedName name="TQ" localSheetId="2" hidden="1">{"'Liquid'!$A$1:$U$57"}</definedName>
    <definedName name="TQ" hidden="1">{"'Liquid'!$A$1:$U$57"}</definedName>
    <definedName name="Train_Test" localSheetId="0">#REF!</definedName>
    <definedName name="Train_Test">#REF!</definedName>
    <definedName name="Training" localSheetId="0">#REF!</definedName>
    <definedName name="Training">#REF!</definedName>
    <definedName name="USD" localSheetId="0">#REF!</definedName>
    <definedName name="USD">#REF!</definedName>
    <definedName name="v" localSheetId="0" hidden="1">{#N/A,#N/A,FALSE,"SUM_Prop";#N/A,#N/A,FALSE,"PROCESS-eng";#N/A,#N/A,FALSE,"PROCESS-com";#N/A,#N/A,FALSE,"INST-eng";#N/A,#N/A,FALSE,"INST-com"}</definedName>
    <definedName name="v" localSheetId="2" hidden="1">{#N/A,#N/A,FALSE,"SUM_Prop";#N/A,#N/A,FALSE,"PROCESS-eng";#N/A,#N/A,FALSE,"PROCESS-com";#N/A,#N/A,FALSE,"INST-eng";#N/A,#N/A,FALSE,"INST-com"}</definedName>
    <definedName name="v" hidden="1">{#N/A,#N/A,FALSE,"SUM_Prop";#N/A,#N/A,FALSE,"PROCESS-eng";#N/A,#N/A,FALSE,"PROCESS-com";#N/A,#N/A,FALSE,"INST-eng";#N/A,#N/A,FALSE,"INST-com"}</definedName>
    <definedName name="W10x19">[9]Sheet2!$D$14</definedName>
    <definedName name="W12x26">[9]Sheet2!$D$16</definedName>
    <definedName name="W12x35">[9]Sheet2!$D$15</definedName>
    <definedName name="W14x53">[9]Sheet2!$D$17</definedName>
    <definedName name="W14x68">[9]Sheet2!$D$18</definedName>
    <definedName name="W4x13">[9]Sheet2!$D$19</definedName>
    <definedName name="W8x31">[9]Sheet2!$D$20</definedName>
    <definedName name="WEEK" localSheetId="8">#REF!</definedName>
    <definedName name="WEEK" localSheetId="0">#REF!</definedName>
    <definedName name="WEEK" localSheetId="9">#REF!</definedName>
    <definedName name="WEEK" localSheetId="2">#REF!</definedName>
    <definedName name="WEEK" localSheetId="4">#REF!</definedName>
    <definedName name="WEEK">#REF!</definedName>
    <definedName name="wini" localSheetId="0">#REF!</definedName>
    <definedName name="wini">#REF!</definedName>
    <definedName name="wrn.Alles." localSheetId="0" hidden="1">{#N/A,#N/A,FALSE,"Deckblatt";#N/A,#N/A,FALSE,"KABEL";#N/A,#N/A,FALSE,"MATERIAL";#N/A,#N/A,FALSE,"DBHK"}</definedName>
    <definedName name="wrn.Alles." localSheetId="2" hidden="1">{#N/A,#N/A,FALSE,"Deckblatt";#N/A,#N/A,FALSE,"KABEL";#N/A,#N/A,FALSE,"MATERIAL";#N/A,#N/A,FALSE,"DBHK"}</definedName>
    <definedName name="wrn.Alles." hidden="1">{#N/A,#N/A,FALSE,"Deckblatt";#N/A,#N/A,FALSE,"KABEL";#N/A,#N/A,FALSE,"MATERIAL";#N/A,#N/A,FALSE,"DBHK"}</definedName>
    <definedName name="wrn.BPC._.Cost._.Support." localSheetId="0" hidden="1">{"BPC Cost Summary",#N/A,FALSE,"Bredero costs";"BPC Unit Rate Summary",#N/A,FALSE,"Bredero costs";"Prorata costs by p/l - page 1",#N/A,FALSE,"Bredero costs";"Prorata costs by p/l - page 2",#N/A,FALSE,"Bredero costs"}</definedName>
    <definedName name="wrn.BPC._.Cost._.Support." localSheetId="2" hidden="1">{"BPC Cost Summary",#N/A,FALSE,"Bredero costs";"BPC Unit Rate Summary",#N/A,FALSE,"Bredero costs";"Prorata costs by p/l - page 1",#N/A,FALSE,"Bredero costs";"Prorata costs by p/l - page 2",#N/A,FALSE,"Bredero costs"}</definedName>
    <definedName name="wrn.BPC._.Cost._.Support." hidden="1">{"BPC Cost Summary",#N/A,FALSE,"Bredero costs";"BPC Unit Rate Summary",#N/A,FALSE,"Bredero costs";"Prorata costs by p/l - page 1",#N/A,FALSE,"Bredero costs";"Prorata costs by p/l - page 2",#N/A,FALSE,"Bredero costs"}</definedName>
    <definedName name="wrn.ENG_SUM_EXP_DIS." localSheetId="0" hidden="1">{#N/A,#N/A,FALSE,"SUM_Prop";#N/A,#N/A,FALSE,"PROCESS-eng";#N/A,#N/A,FALSE,"PROCESS-com";#N/A,#N/A,FALSE,"INST-eng";#N/A,#N/A,FALSE,"INST-com"}</definedName>
    <definedName name="wrn.ENG_SUM_EXP_DIS." localSheetId="2" hidden="1">{#N/A,#N/A,FALSE,"SUM_Prop";#N/A,#N/A,FALSE,"PROCESS-eng";#N/A,#N/A,FALSE,"PROCESS-com";#N/A,#N/A,FALSE,"INST-eng";#N/A,#N/A,FALSE,"INST-com"}</definedName>
    <definedName name="wrn.ENG_SUM_EXP_DIS." hidden="1">{#N/A,#N/A,FALSE,"SUM_Prop";#N/A,#N/A,FALSE,"PROCESS-eng";#N/A,#N/A,FALSE,"PROCESS-com";#N/A,#N/A,FALSE,"INST-eng";#N/A,#N/A,FALSE,"INST-com"}</definedName>
    <definedName name="wrn.ENG_SUM_EXP_DIS.1" localSheetId="0" hidden="1">{#N/A,#N/A,FALSE,"SUM_Prop";#N/A,#N/A,FALSE,"PROCESS-eng";#N/A,#N/A,FALSE,"PROCESS-com";#N/A,#N/A,FALSE,"INST-eng";#N/A,#N/A,FALSE,"INST-com"}</definedName>
    <definedName name="wrn.ENG_SUM_EXP_DIS.1" localSheetId="2" hidden="1">{#N/A,#N/A,FALSE,"SUM_Prop";#N/A,#N/A,FALSE,"PROCESS-eng";#N/A,#N/A,FALSE,"PROCESS-com";#N/A,#N/A,FALSE,"INST-eng";#N/A,#N/A,FALSE,"INST-com"}</definedName>
    <definedName name="wrn.ENG_SUM_EXP_DIS.1" hidden="1">{#N/A,#N/A,FALSE,"SUM_Prop";#N/A,#N/A,FALSE,"PROCESS-eng";#N/A,#N/A,FALSE,"PROCESS-com";#N/A,#N/A,FALSE,"INST-eng";#N/A,#N/A,FALSE,"INST-com"}</definedName>
    <definedName name="wrn.FOUNDATION." localSheetId="0" hidden="1">{#N/A,#N/A,TRUE,"toc";#N/A,#N/A,TRUE,"general";#N/A,#N/A,TRUE,"compressive";#N/A,#N/A,TRUE,"lateral";#N/A,#N/A,TRUE,"shallow"}</definedName>
    <definedName name="wrn.FOUNDATION." localSheetId="2" hidden="1">{#N/A,#N/A,TRUE,"toc";#N/A,#N/A,TRUE,"general";#N/A,#N/A,TRUE,"compressive";#N/A,#N/A,TRUE,"lateral";#N/A,#N/A,TRUE,"shallow"}</definedName>
    <definedName name="wrn.FOUNDATION." hidden="1">{#N/A,#N/A,TRUE,"toc";#N/A,#N/A,TRUE,"general";#N/A,#N/A,TRUE,"compressive";#N/A,#N/A,TRUE,"lateral";#N/A,#N/A,TRUE,"shallow"}</definedName>
    <definedName name="x" localSheetId="0">'Cover Report'!x</definedName>
    <definedName name="x" localSheetId="2">'Exe Sum'!x</definedName>
    <definedName name="x">[0]!x</definedName>
    <definedName name="xx" localSheetId="0">#REF!</definedName>
    <definedName name="xx">#REF!</definedName>
    <definedName name="xxx" localSheetId="0" hidden="1">{#N/A,#N/A,FALSE,"SUM_Prop";#N/A,#N/A,FALSE,"PROCESS-eng";#N/A,#N/A,FALSE,"PROCESS-com";#N/A,#N/A,FALSE,"INST-eng";#N/A,#N/A,FALSE,"INST-com"}</definedName>
    <definedName name="xxx" localSheetId="2" hidden="1">{#N/A,#N/A,FALSE,"SUM_Prop";#N/A,#N/A,FALSE,"PROCESS-eng";#N/A,#N/A,FALSE,"PROCESS-com";#N/A,#N/A,FALSE,"INST-eng";#N/A,#N/A,FALSE,"INST-com"}</definedName>
    <definedName name="xxx" hidden="1">{#N/A,#N/A,FALSE,"SUM_Prop";#N/A,#N/A,FALSE,"PROCESS-eng";#N/A,#N/A,FALSE,"PROCESS-com";#N/A,#N/A,FALSE,"INST-eng";#N/A,#N/A,FALSE,"INST-com"}</definedName>
    <definedName name="z" localSheetId="0" hidden="1">{"'Overflow Tank '!$A$1:$Q$58"}</definedName>
    <definedName name="z" localSheetId="2" hidden="1">{"'Overflow Tank '!$A$1:$Q$58"}</definedName>
    <definedName name="z" hidden="1">{"'Overflow Tank '!$A$1:$Q$58"}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1" i="124" l="1"/>
  <c r="O29" i="105" a="1"/>
  <c r="O29" i="105" s="1"/>
  <c r="AY5" i="105"/>
  <c r="R22" i="105"/>
  <c r="O22" i="105"/>
  <c r="S23" i="105"/>
  <c r="AG36" i="121"/>
  <c r="DM36" i="121"/>
  <c r="AQ17" i="89" l="1"/>
  <c r="DX36" i="121"/>
  <c r="I49" i="121"/>
  <c r="I50" i="121"/>
  <c r="I51" i="121"/>
  <c r="I52" i="121"/>
  <c r="I53" i="121"/>
  <c r="I54" i="121"/>
  <c r="I55" i="121"/>
  <c r="I57" i="121"/>
  <c r="I58" i="121"/>
  <c r="I59" i="121"/>
  <c r="I61" i="121"/>
  <c r="I62" i="121"/>
  <c r="I64" i="121"/>
  <c r="I65" i="121"/>
  <c r="I66" i="121"/>
  <c r="I48" i="121"/>
  <c r="H49" i="121"/>
  <c r="H50" i="121"/>
  <c r="H51" i="121"/>
  <c r="H52" i="121"/>
  <c r="H53" i="121"/>
  <c r="H54" i="121"/>
  <c r="H55" i="121"/>
  <c r="H57" i="121"/>
  <c r="H58" i="121"/>
  <c r="H59" i="121"/>
  <c r="H61" i="121"/>
  <c r="H62" i="121"/>
  <c r="H64" i="121"/>
  <c r="H65" i="121"/>
  <c r="H66" i="121"/>
  <c r="H67" i="121"/>
  <c r="H48" i="121"/>
  <c r="A8" i="122" l="1"/>
  <c r="E6" i="122"/>
  <c r="E4" i="122"/>
  <c r="E1" i="122"/>
  <c r="D6" i="123"/>
  <c r="D4" i="123"/>
  <c r="D1" i="123"/>
  <c r="K23" i="121" l="1"/>
  <c r="F15" i="121"/>
  <c r="AA3" i="105"/>
  <c r="D22" i="105"/>
  <c r="E6" i="114"/>
  <c r="D6" i="113"/>
  <c r="D6" i="101"/>
  <c r="D6" i="102"/>
  <c r="AA4" i="105"/>
  <c r="AA14" i="105" s="1"/>
  <c r="D27" i="105"/>
  <c r="D26" i="105"/>
  <c r="D25" i="105"/>
  <c r="D24" i="105"/>
  <c r="D23" i="105"/>
  <c r="C27" i="105"/>
  <c r="C26" i="105"/>
  <c r="C25" i="105"/>
  <c r="C24" i="105"/>
  <c r="C23" i="105"/>
  <c r="C22" i="105"/>
  <c r="C6" i="89"/>
  <c r="C5" i="89"/>
  <c r="Q58" i="89"/>
  <c r="R58" i="89"/>
  <c r="S59" i="89"/>
  <c r="E58" i="89"/>
  <c r="F58" i="89"/>
  <c r="N58" i="89"/>
  <c r="C59" i="89"/>
  <c r="AP18" i="89"/>
  <c r="C68" i="89" s="1"/>
  <c r="AP17" i="89"/>
  <c r="C67" i="89" s="1"/>
  <c r="AP15" i="89"/>
  <c r="AN20" i="89"/>
  <c r="AN16" i="89"/>
  <c r="AN17" i="89"/>
  <c r="AN18" i="89"/>
  <c r="AN19" i="89"/>
  <c r="AN15" i="89"/>
  <c r="AN14" i="89"/>
  <c r="AQ12" i="89"/>
  <c r="D58" i="89" s="1"/>
  <c r="AR12" i="89"/>
  <c r="AS12" i="89"/>
  <c r="AT12" i="89"/>
  <c r="G58" i="89" s="1"/>
  <c r="AU12" i="89"/>
  <c r="H58" i="89" s="1"/>
  <c r="AV12" i="89"/>
  <c r="I58" i="89" s="1"/>
  <c r="AW12" i="89"/>
  <c r="J58" i="89" s="1"/>
  <c r="AX12" i="89"/>
  <c r="K58" i="89" s="1"/>
  <c r="AY12" i="89"/>
  <c r="L58" i="89" s="1"/>
  <c r="AZ12" i="89"/>
  <c r="M58" i="89" s="1"/>
  <c r="BA12" i="89"/>
  <c r="BB12" i="89"/>
  <c r="O58" i="89" s="1"/>
  <c r="BC12" i="89"/>
  <c r="P58" i="89" s="1"/>
  <c r="BD12" i="89"/>
  <c r="BE12" i="89"/>
  <c r="BF12" i="89"/>
  <c r="S58" i="89" s="1"/>
  <c r="BG12" i="89"/>
  <c r="T58" i="89" s="1"/>
  <c r="BH12" i="89"/>
  <c r="U58" i="89" s="1"/>
  <c r="BI12" i="89"/>
  <c r="V58" i="89" s="1"/>
  <c r="BJ12" i="89"/>
  <c r="W58" i="89" s="1"/>
  <c r="BK12" i="89"/>
  <c r="X58" i="89" s="1"/>
  <c r="AQ13" i="89"/>
  <c r="D59" i="89" s="1"/>
  <c r="AR13" i="89"/>
  <c r="E59" i="89" s="1"/>
  <c r="AS13" i="89"/>
  <c r="F59" i="89" s="1"/>
  <c r="AT13" i="89"/>
  <c r="G59" i="89" s="1"/>
  <c r="AU13" i="89"/>
  <c r="H59" i="89" s="1"/>
  <c r="AV13" i="89"/>
  <c r="I59" i="89" s="1"/>
  <c r="AW13" i="89"/>
  <c r="J59" i="89" s="1"/>
  <c r="AX13" i="89"/>
  <c r="K59" i="89" s="1"/>
  <c r="AY13" i="89"/>
  <c r="L59" i="89" s="1"/>
  <c r="AZ13" i="89"/>
  <c r="M59" i="89" s="1"/>
  <c r="BA13" i="89"/>
  <c r="N59" i="89" s="1"/>
  <c r="BB13" i="89"/>
  <c r="O59" i="89" s="1"/>
  <c r="BC13" i="89"/>
  <c r="P59" i="89" s="1"/>
  <c r="BD13" i="89"/>
  <c r="Q59" i="89" s="1"/>
  <c r="BE13" i="89"/>
  <c r="R59" i="89" s="1"/>
  <c r="BF13" i="89"/>
  <c r="BG13" i="89"/>
  <c r="T59" i="89" s="1"/>
  <c r="BH13" i="89"/>
  <c r="U59" i="89" s="1"/>
  <c r="BI13" i="89"/>
  <c r="V59" i="89" s="1"/>
  <c r="BJ13" i="89"/>
  <c r="W59" i="89" s="1"/>
  <c r="BK13" i="89"/>
  <c r="X59" i="89" s="1"/>
  <c r="AP13" i="89"/>
  <c r="AP12" i="89"/>
  <c r="C58" i="89" s="1"/>
  <c r="DG36" i="121"/>
  <c r="DF36" i="121"/>
  <c r="DE36" i="121"/>
  <c r="DD36" i="121"/>
  <c r="DC36" i="121"/>
  <c r="DB36" i="121"/>
  <c r="DA36" i="121"/>
  <c r="CZ36" i="121"/>
  <c r="CY36" i="121"/>
  <c r="CX36" i="121"/>
  <c r="CW36" i="121"/>
  <c r="CV36" i="121"/>
  <c r="CU36" i="121"/>
  <c r="CT36" i="121"/>
  <c r="CS36" i="121"/>
  <c r="CR36" i="121"/>
  <c r="CQ36" i="121"/>
  <c r="CP36" i="121"/>
  <c r="CO36" i="121"/>
  <c r="CN36" i="121"/>
  <c r="CM36" i="121"/>
  <c r="DG35" i="121"/>
  <c r="DF35" i="121"/>
  <c r="DE35" i="121"/>
  <c r="DD35" i="121"/>
  <c r="DC35" i="121"/>
  <c r="DB35" i="121"/>
  <c r="DA35" i="121"/>
  <c r="CZ35" i="121"/>
  <c r="CY35" i="121"/>
  <c r="CX35" i="121"/>
  <c r="CW35" i="121"/>
  <c r="CV35" i="121"/>
  <c r="CU35" i="121"/>
  <c r="CT35" i="121"/>
  <c r="CS35" i="121"/>
  <c r="CR35" i="121"/>
  <c r="CQ35" i="121"/>
  <c r="CP35" i="121"/>
  <c r="CO35" i="121"/>
  <c r="CN35" i="121"/>
  <c r="CM35" i="121"/>
  <c r="DG34" i="121"/>
  <c r="DF34" i="121"/>
  <c r="DE34" i="121"/>
  <c r="DD34" i="121"/>
  <c r="DC34" i="121"/>
  <c r="DB34" i="121"/>
  <c r="DA34" i="121"/>
  <c r="CZ34" i="121"/>
  <c r="CY34" i="121"/>
  <c r="CX34" i="121"/>
  <c r="CW34" i="121"/>
  <c r="CV34" i="121"/>
  <c r="CU34" i="121"/>
  <c r="CT34" i="121"/>
  <c r="CS34" i="121"/>
  <c r="CR34" i="121"/>
  <c r="CQ34" i="121"/>
  <c r="CP34" i="121"/>
  <c r="CO34" i="121"/>
  <c r="CN34" i="121"/>
  <c r="CM34" i="121"/>
  <c r="DG33" i="121"/>
  <c r="DF33" i="121"/>
  <c r="DE33" i="121"/>
  <c r="DD33" i="121"/>
  <c r="DC33" i="121"/>
  <c r="DB33" i="121"/>
  <c r="DA33" i="121"/>
  <c r="CZ33" i="121"/>
  <c r="CY33" i="121"/>
  <c r="CX33" i="121"/>
  <c r="CW33" i="121"/>
  <c r="CV33" i="121"/>
  <c r="CU33" i="121"/>
  <c r="CT33" i="121"/>
  <c r="CS33" i="121"/>
  <c r="CR33" i="121"/>
  <c r="CQ33" i="121"/>
  <c r="CP33" i="121"/>
  <c r="CO33" i="121"/>
  <c r="CN33" i="121"/>
  <c r="CM33" i="121"/>
  <c r="DG31" i="121"/>
  <c r="DF31" i="121"/>
  <c r="DE31" i="121"/>
  <c r="DD31" i="121"/>
  <c r="DC31" i="121"/>
  <c r="DB31" i="121"/>
  <c r="DA31" i="121"/>
  <c r="CZ31" i="121"/>
  <c r="CY31" i="121"/>
  <c r="CX31" i="121"/>
  <c r="CW31" i="121"/>
  <c r="CV31" i="121"/>
  <c r="CU31" i="121"/>
  <c r="CT31" i="121"/>
  <c r="CS31" i="121"/>
  <c r="CR31" i="121"/>
  <c r="CQ31" i="121"/>
  <c r="CP31" i="121"/>
  <c r="CO31" i="121"/>
  <c r="CN31" i="121"/>
  <c r="CM31" i="121"/>
  <c r="DG30" i="121"/>
  <c r="DF30" i="121"/>
  <c r="DE30" i="121"/>
  <c r="DD30" i="121"/>
  <c r="DC30" i="121"/>
  <c r="DB30" i="121"/>
  <c r="DA30" i="121"/>
  <c r="CZ30" i="121"/>
  <c r="CY30" i="121"/>
  <c r="CX30" i="121"/>
  <c r="CW30" i="121"/>
  <c r="CV30" i="121"/>
  <c r="CU30" i="121"/>
  <c r="CT30" i="121"/>
  <c r="CS30" i="121"/>
  <c r="CR30" i="121"/>
  <c r="CQ30" i="121"/>
  <c r="CP30" i="121"/>
  <c r="CO30" i="121"/>
  <c r="CN30" i="121"/>
  <c r="CM30" i="121"/>
  <c r="DG28" i="121"/>
  <c r="DF28" i="121"/>
  <c r="DE28" i="121"/>
  <c r="DD28" i="121"/>
  <c r="DC28" i="121"/>
  <c r="DB28" i="121"/>
  <c r="DA28" i="121"/>
  <c r="CZ28" i="121"/>
  <c r="CY28" i="121"/>
  <c r="CX28" i="121"/>
  <c r="CW28" i="121"/>
  <c r="CV28" i="121"/>
  <c r="CU28" i="121"/>
  <c r="CT28" i="121"/>
  <c r="CS28" i="121"/>
  <c r="CR28" i="121"/>
  <c r="CQ28" i="121"/>
  <c r="CP28" i="121"/>
  <c r="CO28" i="121"/>
  <c r="CN28" i="121"/>
  <c r="CM28" i="121"/>
  <c r="DG27" i="121"/>
  <c r="DF27" i="121"/>
  <c r="DE27" i="121"/>
  <c r="DD27" i="121"/>
  <c r="DC27" i="121"/>
  <c r="DB27" i="121"/>
  <c r="DA27" i="121"/>
  <c r="CZ27" i="121"/>
  <c r="CY27" i="121"/>
  <c r="CX27" i="121"/>
  <c r="CW27" i="121"/>
  <c r="CV27" i="121"/>
  <c r="CU27" i="121"/>
  <c r="CT27" i="121"/>
  <c r="CS27" i="121"/>
  <c r="CR27" i="121"/>
  <c r="CQ27" i="121"/>
  <c r="CP27" i="121"/>
  <c r="CO27" i="121"/>
  <c r="CN27" i="121"/>
  <c r="CM27" i="121"/>
  <c r="DG26" i="121"/>
  <c r="DF26" i="121"/>
  <c r="DE26" i="121"/>
  <c r="DD26" i="121"/>
  <c r="DC26" i="121"/>
  <c r="DB26" i="121"/>
  <c r="DA26" i="121"/>
  <c r="CZ26" i="121"/>
  <c r="CY26" i="121"/>
  <c r="CX26" i="121"/>
  <c r="CW26" i="121"/>
  <c r="CV26" i="121"/>
  <c r="CU26" i="121"/>
  <c r="CT26" i="121"/>
  <c r="CS26" i="121"/>
  <c r="CR26" i="121"/>
  <c r="CQ26" i="121"/>
  <c r="CP26" i="121"/>
  <c r="CO26" i="121"/>
  <c r="CN26" i="121"/>
  <c r="CM26" i="121"/>
  <c r="DG24" i="121"/>
  <c r="DF24" i="121"/>
  <c r="DE24" i="121"/>
  <c r="DD24" i="121"/>
  <c r="DC24" i="121"/>
  <c r="DB24" i="121"/>
  <c r="DA24" i="121"/>
  <c r="CZ24" i="121"/>
  <c r="CY24" i="121"/>
  <c r="CX24" i="121"/>
  <c r="CW24" i="121"/>
  <c r="CV24" i="121"/>
  <c r="CU24" i="121"/>
  <c r="CT24" i="121"/>
  <c r="CS24" i="121"/>
  <c r="CR24" i="121"/>
  <c r="CQ24" i="121"/>
  <c r="CP24" i="121"/>
  <c r="CO24" i="121"/>
  <c r="CN24" i="121"/>
  <c r="CM24" i="121"/>
  <c r="DG23" i="121"/>
  <c r="DF23" i="121"/>
  <c r="DE23" i="121"/>
  <c r="DD23" i="121"/>
  <c r="DC23" i="121"/>
  <c r="DB23" i="121"/>
  <c r="DA23" i="121"/>
  <c r="CZ23" i="121"/>
  <c r="CY23" i="121"/>
  <c r="CX23" i="121"/>
  <c r="CW23" i="121"/>
  <c r="CV23" i="121"/>
  <c r="CU23" i="121"/>
  <c r="CT23" i="121"/>
  <c r="CS23" i="121"/>
  <c r="CR23" i="121"/>
  <c r="CQ23" i="121"/>
  <c r="CP23" i="121"/>
  <c r="CO23" i="121"/>
  <c r="CN23" i="121"/>
  <c r="CM23" i="121"/>
  <c r="DG22" i="121"/>
  <c r="DF22" i="121"/>
  <c r="DE22" i="121"/>
  <c r="DD22" i="121"/>
  <c r="DC22" i="121"/>
  <c r="DB22" i="121"/>
  <c r="DA22" i="121"/>
  <c r="CZ22" i="121"/>
  <c r="CY22" i="121"/>
  <c r="CX22" i="121"/>
  <c r="CW22" i="121"/>
  <c r="CV22" i="121"/>
  <c r="CU22" i="121"/>
  <c r="CT22" i="121"/>
  <c r="CS22" i="121"/>
  <c r="CR22" i="121"/>
  <c r="CQ22" i="121"/>
  <c r="CP22" i="121"/>
  <c r="CO22" i="121"/>
  <c r="CN22" i="121"/>
  <c r="CM22" i="121"/>
  <c r="DG20" i="121"/>
  <c r="DF20" i="121"/>
  <c r="DE20" i="121"/>
  <c r="DD20" i="121"/>
  <c r="DC20" i="121"/>
  <c r="DB20" i="121"/>
  <c r="DA20" i="121"/>
  <c r="CZ20" i="121"/>
  <c r="CY20" i="121"/>
  <c r="CX20" i="121"/>
  <c r="CW20" i="121"/>
  <c r="CV20" i="121"/>
  <c r="CU20" i="121"/>
  <c r="CT20" i="121"/>
  <c r="CS20" i="121"/>
  <c r="CR20" i="121"/>
  <c r="CQ20" i="121"/>
  <c r="CP20" i="121"/>
  <c r="CO20" i="121"/>
  <c r="CN20" i="121"/>
  <c r="CM20" i="121"/>
  <c r="CM18" i="121"/>
  <c r="CN18" i="121"/>
  <c r="CO18" i="121"/>
  <c r="CP18" i="121"/>
  <c r="CQ18" i="121"/>
  <c r="CR18" i="121"/>
  <c r="CS18" i="121"/>
  <c r="CT18" i="121"/>
  <c r="CU18" i="121"/>
  <c r="CV18" i="121"/>
  <c r="CW18" i="121"/>
  <c r="CX18" i="121"/>
  <c r="CY18" i="121"/>
  <c r="CZ18" i="121"/>
  <c r="DA18" i="121"/>
  <c r="DB18" i="121"/>
  <c r="DC18" i="121"/>
  <c r="DD18" i="121"/>
  <c r="DE18" i="121"/>
  <c r="DF18" i="121"/>
  <c r="DG18" i="121"/>
  <c r="CN17" i="121"/>
  <c r="CO17" i="121"/>
  <c r="CP17" i="121"/>
  <c r="CQ17" i="121"/>
  <c r="CR17" i="121"/>
  <c r="CS17" i="121"/>
  <c r="CT17" i="121"/>
  <c r="CU17" i="121"/>
  <c r="CV17" i="121"/>
  <c r="CW17" i="121"/>
  <c r="CX17" i="121"/>
  <c r="CY17" i="121"/>
  <c r="CZ17" i="121"/>
  <c r="DA17" i="121"/>
  <c r="DB17" i="121"/>
  <c r="DC17" i="121"/>
  <c r="DD17" i="121"/>
  <c r="DE17" i="121"/>
  <c r="DF17" i="121"/>
  <c r="DG17" i="121"/>
  <c r="CM17" i="121"/>
  <c r="BN22" i="121"/>
  <c r="CH36" i="121"/>
  <c r="CG36" i="121"/>
  <c r="CF36" i="121"/>
  <c r="CE36" i="121"/>
  <c r="CD36" i="121"/>
  <c r="CH35" i="121"/>
  <c r="CG35" i="121"/>
  <c r="CF35" i="121"/>
  <c r="CE35" i="121"/>
  <c r="CD35" i="121"/>
  <c r="CC35" i="121"/>
  <c r="CB35" i="121"/>
  <c r="CA35" i="121"/>
  <c r="BZ35" i="121"/>
  <c r="BY35" i="121"/>
  <c r="BX35" i="121"/>
  <c r="BV35" i="121"/>
  <c r="BU35" i="121"/>
  <c r="BT35" i="121"/>
  <c r="BS35" i="121"/>
  <c r="BR35" i="121"/>
  <c r="BQ35" i="121"/>
  <c r="BP35" i="121"/>
  <c r="BO35" i="121"/>
  <c r="BN35" i="121"/>
  <c r="CH34" i="121"/>
  <c r="CG34" i="121"/>
  <c r="CF34" i="121"/>
  <c r="CE34" i="121"/>
  <c r="CD34" i="121"/>
  <c r="CC34" i="121"/>
  <c r="CB34" i="121"/>
  <c r="CA34" i="121"/>
  <c r="BZ34" i="121"/>
  <c r="BY34" i="121"/>
  <c r="BX34" i="121"/>
  <c r="BW34" i="121"/>
  <c r="BV34" i="121"/>
  <c r="BU34" i="121"/>
  <c r="BT34" i="121"/>
  <c r="BS34" i="121"/>
  <c r="BP34" i="121"/>
  <c r="BO34" i="121"/>
  <c r="BN34" i="121"/>
  <c r="CH33" i="121"/>
  <c r="CG33" i="121"/>
  <c r="CF33" i="121"/>
  <c r="CE33" i="121"/>
  <c r="CD33" i="121"/>
  <c r="CC33" i="121"/>
  <c r="CB33" i="121"/>
  <c r="CA33" i="121"/>
  <c r="BZ33" i="121"/>
  <c r="BY33" i="121"/>
  <c r="BX33" i="121"/>
  <c r="BW33" i="121"/>
  <c r="BV33" i="121"/>
  <c r="BU33" i="121"/>
  <c r="BT33" i="121"/>
  <c r="BS33" i="121"/>
  <c r="BR33" i="121"/>
  <c r="BQ33" i="121"/>
  <c r="BP33" i="121"/>
  <c r="BO33" i="121"/>
  <c r="BN33" i="121"/>
  <c r="CH31" i="121"/>
  <c r="CG31" i="121"/>
  <c r="CF31" i="121"/>
  <c r="CE31" i="121"/>
  <c r="CD31" i="121"/>
  <c r="CC31" i="121"/>
  <c r="CB31" i="121"/>
  <c r="CA31" i="121"/>
  <c r="BZ31" i="121"/>
  <c r="BY31" i="121"/>
  <c r="BX31" i="121"/>
  <c r="BW31" i="121"/>
  <c r="BV31" i="121"/>
  <c r="BU31" i="121"/>
  <c r="BT31" i="121"/>
  <c r="BS31" i="121"/>
  <c r="BR31" i="121"/>
  <c r="BQ31" i="121"/>
  <c r="BP31" i="121"/>
  <c r="CH30" i="121"/>
  <c r="CG30" i="121"/>
  <c r="CF30" i="121"/>
  <c r="CE30" i="121"/>
  <c r="CD30" i="121"/>
  <c r="CC30" i="121"/>
  <c r="CB30" i="121"/>
  <c r="CA30" i="121"/>
  <c r="BZ30" i="121"/>
  <c r="BY30" i="121"/>
  <c r="BX30" i="121"/>
  <c r="BW30" i="121"/>
  <c r="BV30" i="121"/>
  <c r="BU30" i="121"/>
  <c r="BT30" i="121"/>
  <c r="BS30" i="121"/>
  <c r="BR30" i="121"/>
  <c r="BQ30" i="121"/>
  <c r="BP30" i="121"/>
  <c r="BN30" i="121"/>
  <c r="CH28" i="121"/>
  <c r="CG28" i="121"/>
  <c r="CF28" i="121"/>
  <c r="CE28" i="121"/>
  <c r="CD28" i="121"/>
  <c r="CC28" i="121"/>
  <c r="CB28" i="121"/>
  <c r="CA28" i="121"/>
  <c r="BZ28" i="121"/>
  <c r="BY28" i="121"/>
  <c r="BX28" i="121"/>
  <c r="BW28" i="121"/>
  <c r="BV28" i="121"/>
  <c r="BU28" i="121"/>
  <c r="BT28" i="121"/>
  <c r="BS28" i="121"/>
  <c r="BR28" i="121"/>
  <c r="BQ28" i="121"/>
  <c r="BP28" i="121"/>
  <c r="BO28" i="121"/>
  <c r="BN28" i="121"/>
  <c r="CH27" i="121"/>
  <c r="CG27" i="121"/>
  <c r="CF27" i="121"/>
  <c r="CE27" i="121"/>
  <c r="CD27" i="121"/>
  <c r="CC27" i="121"/>
  <c r="CB27" i="121"/>
  <c r="CA27" i="121"/>
  <c r="BZ27" i="121"/>
  <c r="BY27" i="121"/>
  <c r="BX27" i="121"/>
  <c r="BW27" i="121"/>
  <c r="BV27" i="121"/>
  <c r="BU27" i="121"/>
  <c r="BT27" i="121"/>
  <c r="BS27" i="121"/>
  <c r="BR27" i="121"/>
  <c r="BP27" i="121"/>
  <c r="BO27" i="121"/>
  <c r="BN27" i="121"/>
  <c r="CH26" i="121"/>
  <c r="CG26" i="121"/>
  <c r="CF26" i="121"/>
  <c r="CE26" i="121"/>
  <c r="CD26" i="121"/>
  <c r="CC26" i="121"/>
  <c r="CB26" i="121"/>
  <c r="CA26" i="121"/>
  <c r="BZ26" i="121"/>
  <c r="BY26" i="121"/>
  <c r="BX26" i="121"/>
  <c r="BW26" i="121"/>
  <c r="BV26" i="121"/>
  <c r="BU26" i="121"/>
  <c r="BT26" i="121"/>
  <c r="BS26" i="121"/>
  <c r="BP26" i="121"/>
  <c r="BO26" i="121"/>
  <c r="BN26" i="121"/>
  <c r="CH24" i="121"/>
  <c r="CG24" i="121"/>
  <c r="CF24" i="121"/>
  <c r="CE24" i="121"/>
  <c r="CD24" i="121"/>
  <c r="CC24" i="121"/>
  <c r="CB24" i="121"/>
  <c r="CA24" i="121"/>
  <c r="BZ24" i="121"/>
  <c r="BY24" i="121"/>
  <c r="BX24" i="121"/>
  <c r="BW24" i="121"/>
  <c r="BU24" i="121"/>
  <c r="BT24" i="121"/>
  <c r="BS24" i="121"/>
  <c r="BR24" i="121"/>
  <c r="BQ24" i="121"/>
  <c r="BP24" i="121"/>
  <c r="BO24" i="121"/>
  <c r="BN24" i="121"/>
  <c r="CH23" i="121"/>
  <c r="CG23" i="121"/>
  <c r="CF23" i="121"/>
  <c r="CE23" i="121"/>
  <c r="CD23" i="121"/>
  <c r="CC23" i="121"/>
  <c r="CB23" i="121"/>
  <c r="CA23" i="121"/>
  <c r="BZ23" i="121"/>
  <c r="BY23" i="121"/>
  <c r="BX23" i="121"/>
  <c r="BW23" i="121"/>
  <c r="BV23" i="121"/>
  <c r="BU23" i="121"/>
  <c r="BT23" i="121"/>
  <c r="BS23" i="121"/>
  <c r="BR23" i="121"/>
  <c r="BP23" i="121"/>
  <c r="BO23" i="121"/>
  <c r="BN23" i="121"/>
  <c r="CH22" i="121"/>
  <c r="CG22" i="121"/>
  <c r="CF22" i="121"/>
  <c r="CE22" i="121"/>
  <c r="CD22" i="121"/>
  <c r="CC22" i="121"/>
  <c r="CB22" i="121"/>
  <c r="CA22" i="121"/>
  <c r="BZ22" i="121"/>
  <c r="BY22" i="121"/>
  <c r="BX22" i="121"/>
  <c r="BW22" i="121"/>
  <c r="BV22" i="121"/>
  <c r="BU22" i="121"/>
  <c r="BT22" i="121"/>
  <c r="BS22" i="121"/>
  <c r="BR22" i="121"/>
  <c r="BQ22" i="121"/>
  <c r="BP22" i="121"/>
  <c r="BO22" i="121"/>
  <c r="CH20" i="121"/>
  <c r="CG20" i="121"/>
  <c r="CF20" i="121"/>
  <c r="CE20" i="121"/>
  <c r="CD20" i="121"/>
  <c r="CC20" i="121"/>
  <c r="CB20" i="121"/>
  <c r="CA20" i="121"/>
  <c r="BZ20" i="121"/>
  <c r="BY20" i="121"/>
  <c r="BX20" i="121"/>
  <c r="BW20" i="121"/>
  <c r="BV20" i="121"/>
  <c r="BU20" i="121"/>
  <c r="BT20" i="121"/>
  <c r="BR20" i="121"/>
  <c r="BQ20" i="121"/>
  <c r="BP20" i="121"/>
  <c r="BO20" i="121"/>
  <c r="BN20" i="121"/>
  <c r="BN18" i="121"/>
  <c r="BO18" i="121"/>
  <c r="BP18" i="121"/>
  <c r="BQ18" i="121"/>
  <c r="BR18" i="121"/>
  <c r="BS18" i="121"/>
  <c r="BT18" i="121"/>
  <c r="BU18" i="121"/>
  <c r="BV18" i="121"/>
  <c r="BW18" i="121"/>
  <c r="BX18" i="121"/>
  <c r="BY18" i="121"/>
  <c r="BZ18" i="121"/>
  <c r="CA18" i="121"/>
  <c r="CB18" i="121"/>
  <c r="CC18" i="121"/>
  <c r="CD18" i="121"/>
  <c r="CE18" i="121"/>
  <c r="CF18" i="121"/>
  <c r="CG18" i="121"/>
  <c r="CH18" i="121"/>
  <c r="CH17" i="121"/>
  <c r="BO17" i="121"/>
  <c r="BP17" i="121"/>
  <c r="BQ17" i="121"/>
  <c r="BR17" i="121"/>
  <c r="BS17" i="121"/>
  <c r="BT17" i="121"/>
  <c r="BU17" i="121"/>
  <c r="BV17" i="121"/>
  <c r="BW17" i="121"/>
  <c r="BX17" i="121"/>
  <c r="BY17" i="121"/>
  <c r="BZ17" i="121"/>
  <c r="CA17" i="121"/>
  <c r="CB17" i="121"/>
  <c r="CC17" i="121"/>
  <c r="CD17" i="121"/>
  <c r="CE17" i="121"/>
  <c r="CF17" i="121"/>
  <c r="CG17" i="121"/>
  <c r="BN17" i="121"/>
  <c r="O17" i="121"/>
  <c r="K35" i="121"/>
  <c r="K34" i="121"/>
  <c r="K33" i="121"/>
  <c r="K31" i="121"/>
  <c r="K30" i="121"/>
  <c r="K28" i="121"/>
  <c r="K27" i="121"/>
  <c r="K26" i="121"/>
  <c r="K24" i="121"/>
  <c r="K22" i="121"/>
  <c r="K20" i="121"/>
  <c r="K18" i="121"/>
  <c r="K17" i="121"/>
  <c r="S35" i="121"/>
  <c r="S34" i="121"/>
  <c r="S33" i="121"/>
  <c r="S31" i="121"/>
  <c r="S30" i="121"/>
  <c r="S28" i="121"/>
  <c r="S27" i="121"/>
  <c r="S26" i="121"/>
  <c r="S24" i="121"/>
  <c r="S23" i="121"/>
  <c r="S22" i="121"/>
  <c r="S20" i="121"/>
  <c r="S18" i="121"/>
  <c r="S17" i="121"/>
  <c r="O36" i="121"/>
  <c r="S36" i="121" s="1"/>
  <c r="O35" i="121"/>
  <c r="O34" i="121"/>
  <c r="O33" i="121"/>
  <c r="O31" i="121"/>
  <c r="O30" i="121"/>
  <c r="O28" i="121"/>
  <c r="O27" i="121"/>
  <c r="O26" i="121"/>
  <c r="O24" i="121"/>
  <c r="O23" i="121"/>
  <c r="O22" i="121"/>
  <c r="O20" i="121"/>
  <c r="O18" i="121"/>
  <c r="AP19" i="89" l="1"/>
  <c r="C69" i="89" s="1"/>
  <c r="C39" i="105"/>
  <c r="AX8" i="105" a="1"/>
  <c r="AX8" i="105" s="1"/>
  <c r="AW9" i="105" a="1"/>
  <c r="AW9" i="105" s="1"/>
  <c r="AV10" i="105" a="1"/>
  <c r="AV10" i="105" s="1"/>
  <c r="AM9" i="105" a="1"/>
  <c r="AM9" i="105" s="1"/>
  <c r="AW10" i="105" a="1"/>
  <c r="AW10" i="105" s="1"/>
  <c r="AV5" i="105" a="1"/>
  <c r="AV5" i="105" s="1"/>
  <c r="AN7" i="105" a="1"/>
  <c r="AN7" i="105" s="1"/>
  <c r="AM10" i="105" a="1"/>
  <c r="AM10" i="105" s="1"/>
  <c r="F27" i="105" s="1"/>
  <c r="AL10" i="105" a="1"/>
  <c r="AL10" i="105" s="1"/>
  <c r="E27" i="105" s="1"/>
  <c r="AX7" i="105" a="1"/>
  <c r="AX7" i="105" s="1"/>
  <c r="AW5" i="105" a="1"/>
  <c r="AW5" i="105" s="1"/>
  <c r="AL5" i="105" a="1"/>
  <c r="AL5" i="105" s="1"/>
  <c r="E22" i="105" s="1"/>
  <c r="AN8" i="105" a="1"/>
  <c r="AN8" i="105" s="1"/>
  <c r="AL6" i="105" a="1"/>
  <c r="AL6" i="105" s="1"/>
  <c r="E23" i="105" s="1"/>
  <c r="AL7" i="105" a="1"/>
  <c r="AL7" i="105" s="1"/>
  <c r="E24" i="105" s="1"/>
  <c r="AV8" i="105" a="1"/>
  <c r="AV8" i="105" s="1"/>
  <c r="AW8" i="105" a="1"/>
  <c r="AW8" i="105" s="1"/>
  <c r="AM8" i="105" a="1"/>
  <c r="AM8" i="105" s="1"/>
  <c r="F25" i="105" s="1"/>
  <c r="AX5" i="105" a="1"/>
  <c r="AX5" i="105" s="1"/>
  <c r="AM5" i="105" a="1"/>
  <c r="AM5" i="105" s="1"/>
  <c r="F22" i="105" s="1"/>
  <c r="AW7" i="105" a="1"/>
  <c r="AW7" i="105" s="1"/>
  <c r="AN5" i="105" a="1"/>
  <c r="AN5" i="105" s="1"/>
  <c r="AV6" i="105" a="1"/>
  <c r="AV6" i="105" s="1"/>
  <c r="AL8" i="105" a="1"/>
  <c r="AL8" i="105" s="1"/>
  <c r="E25" i="105" s="1"/>
  <c r="AX6" i="105" a="1"/>
  <c r="AX6" i="105" s="1"/>
  <c r="AN6" i="105" a="1"/>
  <c r="AN6" i="105" s="1"/>
  <c r="AW6" i="105" a="1"/>
  <c r="AW6" i="105" s="1"/>
  <c r="AV7" i="105" a="1"/>
  <c r="AV7" i="105" s="1"/>
  <c r="AM6" i="105" a="1"/>
  <c r="AM6" i="105" s="1"/>
  <c r="F23" i="105" s="1"/>
  <c r="AL9" i="105" a="1"/>
  <c r="AL9" i="105" s="1"/>
  <c r="E26" i="105" s="1"/>
  <c r="AM7" i="105" a="1"/>
  <c r="AM7" i="105" s="1"/>
  <c r="F24" i="105" s="1"/>
  <c r="AV9" i="105" a="1"/>
  <c r="AV9" i="105" s="1"/>
  <c r="CC36" i="121"/>
  <c r="CB36" i="121"/>
  <c r="CA36" i="121"/>
  <c r="K36" i="121"/>
  <c r="I67" i="121" s="1"/>
  <c r="C65" i="89"/>
  <c r="AP14" i="89"/>
  <c r="C64" i="89" s="1"/>
  <c r="AP16" i="89"/>
  <c r="C66" i="89" s="1"/>
  <c r="AP20" i="89"/>
  <c r="C70" i="89" s="1"/>
  <c r="D29" i="105"/>
  <c r="E4" i="114"/>
  <c r="D4" i="113"/>
  <c r="D5" i="121"/>
  <c r="D4" i="101"/>
  <c r="D4" i="102"/>
  <c r="E4" i="98"/>
  <c r="BN5" i="121"/>
  <c r="BL5" i="121" s="1"/>
  <c r="Z8" i="120"/>
  <c r="AA5" i="105" s="1"/>
  <c r="C40" i="105" s="1"/>
  <c r="BN12" i="121"/>
  <c r="BO12" i="121" s="1"/>
  <c r="Z9" i="120" s="1"/>
  <c r="Z5" i="120"/>
  <c r="AA12" i="121"/>
  <c r="Z12" i="121"/>
  <c r="Y12" i="121"/>
  <c r="X12" i="121"/>
  <c r="W12" i="121"/>
  <c r="V12" i="121"/>
  <c r="U12" i="121"/>
  <c r="T12" i="121"/>
  <c r="S12" i="121"/>
  <c r="R12" i="121"/>
  <c r="Q12" i="121"/>
  <c r="P12" i="121"/>
  <c r="O12" i="121"/>
  <c r="N12" i="121"/>
  <c r="M12" i="121"/>
  <c r="L12" i="121"/>
  <c r="K12" i="121"/>
  <c r="J12" i="121"/>
  <c r="I12" i="121"/>
  <c r="H12" i="121"/>
  <c r="DL42" i="121"/>
  <c r="DL41" i="121"/>
  <c r="DL45" i="121"/>
  <c r="DL44" i="121"/>
  <c r="DL15" i="121"/>
  <c r="DL32" i="121"/>
  <c r="DL46" i="121" s="1"/>
  <c r="DL29" i="121"/>
  <c r="DL25" i="121"/>
  <c r="DL21" i="121"/>
  <c r="DL43" i="121" s="1"/>
  <c r="DL19" i="121"/>
  <c r="DL16" i="121"/>
  <c r="DM35" i="121"/>
  <c r="DM24" i="121"/>
  <c r="DM33" i="121"/>
  <c r="DM22" i="121"/>
  <c r="DM17" i="121"/>
  <c r="DM12" i="121"/>
  <c r="CM19" i="121"/>
  <c r="CM42" i="121" s="1"/>
  <c r="CL32" i="121"/>
  <c r="CL46" i="121" s="1"/>
  <c r="CL29" i="121"/>
  <c r="CL45" i="121" s="1"/>
  <c r="CL25" i="121"/>
  <c r="CL44" i="121" s="1"/>
  <c r="CL21" i="121"/>
  <c r="CL43" i="121" s="1"/>
  <c r="CL19" i="121"/>
  <c r="CL42" i="121" s="1"/>
  <c r="CL16" i="121"/>
  <c r="CM12" i="121"/>
  <c r="BM32" i="121"/>
  <c r="BM46" i="121" s="1"/>
  <c r="BM55" i="121" s="1"/>
  <c r="BM29" i="121"/>
  <c r="BM45" i="121" s="1"/>
  <c r="BM25" i="121"/>
  <c r="BM44" i="121" s="1"/>
  <c r="BM53" i="121" s="1"/>
  <c r="BM21" i="121"/>
  <c r="BM43" i="121" s="1"/>
  <c r="BM19" i="121"/>
  <c r="BM42" i="121" s="1"/>
  <c r="BM16" i="121"/>
  <c r="BM41" i="121" s="1"/>
  <c r="BO19" i="121"/>
  <c r="BO42" i="121" s="1"/>
  <c r="BO51" i="121" s="1"/>
  <c r="BN19" i="121"/>
  <c r="BN42" i="121" s="1"/>
  <c r="F32" i="121"/>
  <c r="BK55" i="121" s="1"/>
  <c r="F29" i="121"/>
  <c r="BK54" i="121" s="1"/>
  <c r="F21" i="121"/>
  <c r="BK52" i="121" s="1"/>
  <c r="F19" i="121"/>
  <c r="BK51" i="121" s="1"/>
  <c r="F16" i="121"/>
  <c r="BK50" i="121" s="1"/>
  <c r="F26" i="121"/>
  <c r="F25" i="121" s="1"/>
  <c r="BK53" i="121" s="1"/>
  <c r="P23" i="105" l="1"/>
  <c r="AR6" i="105"/>
  <c r="K23" i="105" s="1"/>
  <c r="G25" i="105"/>
  <c r="AO8" i="105"/>
  <c r="H25" i="105" s="1"/>
  <c r="AP8" i="105"/>
  <c r="AQ5" i="105"/>
  <c r="J22" i="105" s="1"/>
  <c r="P27" i="105"/>
  <c r="AR10" i="105"/>
  <c r="K27" i="105" s="1"/>
  <c r="AY6" i="105"/>
  <c r="R23" i="105" s="1"/>
  <c r="Q23" i="105"/>
  <c r="AZ6" i="105"/>
  <c r="AS6" i="105"/>
  <c r="AZ5" i="105"/>
  <c r="Q22" i="105"/>
  <c r="AS5" i="105"/>
  <c r="P22" i="105"/>
  <c r="AR5" i="105"/>
  <c r="K22" i="105" s="1"/>
  <c r="G23" i="105"/>
  <c r="AO6" i="105"/>
  <c r="H23" i="105" s="1"/>
  <c r="AP6" i="105"/>
  <c r="I23" i="105" s="1"/>
  <c r="P25" i="105"/>
  <c r="AR8" i="105"/>
  <c r="K25" i="105" s="1"/>
  <c r="AS7" i="105"/>
  <c r="AY7" i="105"/>
  <c r="R24" i="105" s="1"/>
  <c r="Q24" i="105"/>
  <c r="AZ7" i="105"/>
  <c r="O27" i="105"/>
  <c r="AQ10" i="105"/>
  <c r="J27" i="105" s="1"/>
  <c r="AQ6" i="105"/>
  <c r="J23" i="105" s="1"/>
  <c r="O23" i="105"/>
  <c r="AR9" i="105"/>
  <c r="K26" i="105" s="1"/>
  <c r="AQ9" i="105"/>
  <c r="J26" i="105" s="1"/>
  <c r="O26" i="105"/>
  <c r="G22" i="105"/>
  <c r="AP5" i="105"/>
  <c r="AO5" i="105"/>
  <c r="H22" i="105" s="1"/>
  <c r="Q25" i="105"/>
  <c r="AS8" i="105"/>
  <c r="AY8" i="105"/>
  <c r="R25" i="105" s="1"/>
  <c r="AZ8" i="105"/>
  <c r="AQ8" i="105"/>
  <c r="J25" i="105" s="1"/>
  <c r="O25" i="105"/>
  <c r="AQ7" i="105"/>
  <c r="J24" i="105" s="1"/>
  <c r="O24" i="105"/>
  <c r="AR7" i="105"/>
  <c r="K24" i="105" s="1"/>
  <c r="P24" i="105"/>
  <c r="AO7" i="105"/>
  <c r="H24" i="105" s="1"/>
  <c r="G24" i="105"/>
  <c r="AP7" i="105"/>
  <c r="BU36" i="121"/>
  <c r="BT36" i="121"/>
  <c r="BQ36" i="121"/>
  <c r="BZ36" i="121"/>
  <c r="BN36" i="121"/>
  <c r="BP36" i="121"/>
  <c r="BX36" i="121"/>
  <c r="BR36" i="121"/>
  <c r="BV36" i="121"/>
  <c r="BO36" i="121"/>
  <c r="BS36" i="121"/>
  <c r="BW36" i="121"/>
  <c r="L4" i="113"/>
  <c r="K3" i="122"/>
  <c r="L4" i="123"/>
  <c r="DM5" i="121"/>
  <c r="BW35" i="121"/>
  <c r="BN31" i="121"/>
  <c r="BR26" i="121"/>
  <c r="BY36" i="121"/>
  <c r="BQ26" i="121"/>
  <c r="BS20" i="121"/>
  <c r="BQ34" i="121"/>
  <c r="BV24" i="121"/>
  <c r="BR34" i="121"/>
  <c r="BQ23" i="121"/>
  <c r="BO30" i="121"/>
  <c r="BQ27" i="121"/>
  <c r="BO31" i="121"/>
  <c r="BJ33" i="121"/>
  <c r="BJ22" i="121"/>
  <c r="BH30" i="121"/>
  <c r="BH18" i="121"/>
  <c r="AK27" i="121"/>
  <c r="AK17" i="121"/>
  <c r="AP17" i="121" s="1"/>
  <c r="AJ28" i="121"/>
  <c r="AJ23" i="121"/>
  <c r="BH33" i="121"/>
  <c r="AJ26" i="121"/>
  <c r="BJ31" i="121"/>
  <c r="BJ20" i="121"/>
  <c r="BJ19" i="121" s="1"/>
  <c r="BH28" i="121"/>
  <c r="BH17" i="121"/>
  <c r="AK28" i="121"/>
  <c r="AI20" i="121"/>
  <c r="AJ30" i="121"/>
  <c r="AK35" i="121"/>
  <c r="BJ30" i="121"/>
  <c r="BJ18" i="121"/>
  <c r="BH27" i="121"/>
  <c r="AK18" i="121"/>
  <c r="AP18" i="121" s="1"/>
  <c r="AK30" i="121"/>
  <c r="AJ20" i="121"/>
  <c r="AJ31" i="121"/>
  <c r="BH35" i="121"/>
  <c r="BJ28" i="121"/>
  <c r="BJ17" i="121"/>
  <c r="BH36" i="121"/>
  <c r="BH26" i="121"/>
  <c r="AK20" i="121"/>
  <c r="AK31" i="121"/>
  <c r="AP31" i="121" s="1"/>
  <c r="AJ22" i="121"/>
  <c r="AJ33" i="121"/>
  <c r="AK33" i="121"/>
  <c r="BJ35" i="121"/>
  <c r="AJ36" i="121"/>
  <c r="BJ27" i="121"/>
  <c r="BH24" i="121"/>
  <c r="AK22" i="121"/>
  <c r="BJ24" i="121"/>
  <c r="BJ36" i="121"/>
  <c r="BJ26" i="121"/>
  <c r="BH34" i="121"/>
  <c r="BH23" i="121"/>
  <c r="AK23" i="121"/>
  <c r="AK34" i="121"/>
  <c r="AP34" i="121" s="1"/>
  <c r="AJ24" i="121"/>
  <c r="AJ35" i="121"/>
  <c r="AK24" i="121"/>
  <c r="BJ34" i="121"/>
  <c r="BJ23" i="121"/>
  <c r="BH31" i="121"/>
  <c r="BH20" i="121"/>
  <c r="AK26" i="121"/>
  <c r="AP26" i="121" s="1"/>
  <c r="AK36" i="121"/>
  <c r="AJ27" i="121"/>
  <c r="AJ18" i="121"/>
  <c r="AJ34" i="121"/>
  <c r="BH22" i="121"/>
  <c r="L4" i="102"/>
  <c r="O4" i="105"/>
  <c r="M3" i="120"/>
  <c r="C7" i="89"/>
  <c r="K3" i="114"/>
  <c r="P6" i="120"/>
  <c r="D32" i="120" s="1"/>
  <c r="AA6" i="105"/>
  <c r="L4" i="101"/>
  <c r="K4" i="98"/>
  <c r="BM52" i="121"/>
  <c r="BM47" i="121"/>
  <c r="DJ54" i="121"/>
  <c r="CJ54" i="121"/>
  <c r="DL50" i="121"/>
  <c r="CJ55" i="121"/>
  <c r="CL55" i="121" s="1"/>
  <c r="DJ55" i="121"/>
  <c r="BM54" i="121"/>
  <c r="CL54" i="121"/>
  <c r="DJ53" i="121"/>
  <c r="DL53" i="121" s="1"/>
  <c r="CJ53" i="121"/>
  <c r="CL53" i="121" s="1"/>
  <c r="CJ50" i="121"/>
  <c r="DJ50" i="121"/>
  <c r="BK56" i="121"/>
  <c r="DL55" i="121"/>
  <c r="BN29" i="121"/>
  <c r="BN45" i="121" s="1"/>
  <c r="BN54" i="121" s="1"/>
  <c r="BM50" i="121"/>
  <c r="DL54" i="121"/>
  <c r="CJ51" i="121"/>
  <c r="CM51" i="121" s="1"/>
  <c r="DJ51" i="121"/>
  <c r="DL51" i="121" s="1"/>
  <c r="BN51" i="121"/>
  <c r="CN12" i="121"/>
  <c r="CM21" i="121"/>
  <c r="CM43" i="121" s="1"/>
  <c r="CM52" i="121" s="1"/>
  <c r="CJ52" i="121"/>
  <c r="CL52" i="121" s="1"/>
  <c r="DJ52" i="121"/>
  <c r="DL52" i="121" s="1"/>
  <c r="CL41" i="121"/>
  <c r="CL50" i="121" s="1"/>
  <c r="CL15" i="121"/>
  <c r="BM51" i="121"/>
  <c r="CM16" i="121"/>
  <c r="CM41" i="121" s="1"/>
  <c r="CM50" i="121" s="1"/>
  <c r="CM29" i="121"/>
  <c r="CM45" i="121" s="1"/>
  <c r="CM54" i="121" s="1"/>
  <c r="DN12" i="121"/>
  <c r="DM23" i="121"/>
  <c r="DM21" i="121" s="1"/>
  <c r="DM43" i="121" s="1"/>
  <c r="DM52" i="121" s="1"/>
  <c r="DM26" i="121"/>
  <c r="DM31" i="121"/>
  <c r="DM34" i="121"/>
  <c r="DM32" i="121" s="1"/>
  <c r="DM46" i="121" s="1"/>
  <c r="DM55" i="121" s="1"/>
  <c r="DM20" i="121"/>
  <c r="DM19" i="121" s="1"/>
  <c r="DM42" i="121" s="1"/>
  <c r="DM51" i="121" s="1"/>
  <c r="DM28" i="121"/>
  <c r="DM30" i="121"/>
  <c r="DM18" i="121"/>
  <c r="DM16" i="121" s="1"/>
  <c r="DM41" i="121" s="1"/>
  <c r="DM50" i="121" s="1"/>
  <c r="DM27" i="121"/>
  <c r="BM15" i="121"/>
  <c r="Z10" i="120"/>
  <c r="M5" i="120" s="1"/>
  <c r="BN6" i="121"/>
  <c r="DM6" i="121" s="1"/>
  <c r="AO5" i="121"/>
  <c r="BO32" i="121"/>
  <c r="BO46" i="121" s="1"/>
  <c r="BO55" i="121" s="1"/>
  <c r="BO16" i="121"/>
  <c r="BO41" i="121" s="1"/>
  <c r="BP12" i="121"/>
  <c r="AI31" i="121"/>
  <c r="AN31" i="121" s="1"/>
  <c r="AE31" i="121" s="1"/>
  <c r="AI24" i="121"/>
  <c r="BF24" i="121" s="1"/>
  <c r="AI28" i="121"/>
  <c r="BF28" i="121" s="1"/>
  <c r="BN16" i="121"/>
  <c r="BN41" i="121" s="1"/>
  <c r="BN50" i="121" s="1"/>
  <c r="CM25" i="121"/>
  <c r="CM44" i="121" s="1"/>
  <c r="CM53" i="121" s="1"/>
  <c r="BN32" i="121"/>
  <c r="BN46" i="121" s="1"/>
  <c r="BN55" i="121" s="1"/>
  <c r="BN25" i="121"/>
  <c r="BN44" i="121" s="1"/>
  <c r="BN53" i="121" s="1"/>
  <c r="BN21" i="121"/>
  <c r="BN43" i="121" s="1"/>
  <c r="BN52" i="121" s="1"/>
  <c r="BO25" i="121"/>
  <c r="BO44" i="121" s="1"/>
  <c r="BO53" i="121" s="1"/>
  <c r="DL47" i="121"/>
  <c r="AU6" i="105" l="1"/>
  <c r="N23" i="105" s="1"/>
  <c r="AT6" i="105"/>
  <c r="M23" i="105" s="1"/>
  <c r="L23" i="105"/>
  <c r="AT8" i="105"/>
  <c r="M25" i="105" s="1"/>
  <c r="AU8" i="105"/>
  <c r="N25" i="105" s="1"/>
  <c r="L25" i="105"/>
  <c r="AU7" i="105"/>
  <c r="N24" i="105" s="1"/>
  <c r="L24" i="105"/>
  <c r="AT7" i="105"/>
  <c r="M24" i="105" s="1"/>
  <c r="AT5" i="105"/>
  <c r="M22" i="105" s="1"/>
  <c r="L22" i="105"/>
  <c r="AU5" i="105"/>
  <c r="N22" i="105" s="1"/>
  <c r="AN20" i="121"/>
  <c r="AE20" i="121" s="1"/>
  <c r="BF20" i="121"/>
  <c r="BF19" i="121" s="1"/>
  <c r="DM29" i="121"/>
  <c r="DM45" i="121" s="1"/>
  <c r="DM54" i="121" s="1"/>
  <c r="BL6" i="121"/>
  <c r="BI30" i="121" s="1"/>
  <c r="AA21" i="105"/>
  <c r="B36" i="105" s="1"/>
  <c r="C41" i="105"/>
  <c r="AA15" i="105"/>
  <c r="DM25" i="121"/>
  <c r="DM44" i="121" s="1"/>
  <c r="DM53" i="121" s="1"/>
  <c r="CM32" i="121"/>
  <c r="CM46" i="121" s="1"/>
  <c r="CM55" i="121" s="1"/>
  <c r="BO21" i="121"/>
  <c r="BO43" i="121" s="1"/>
  <c r="BO52" i="121" s="1"/>
  <c r="AO23" i="121"/>
  <c r="AP22" i="121"/>
  <c r="AO6" i="121"/>
  <c r="AP20" i="121"/>
  <c r="AI18" i="121"/>
  <c r="BF18" i="121" s="1"/>
  <c r="AO28" i="121"/>
  <c r="DO12" i="121"/>
  <c r="DN35" i="121"/>
  <c r="DN17" i="121"/>
  <c r="DN23" i="121"/>
  <c r="DN20" i="121"/>
  <c r="DN19" i="121" s="1"/>
  <c r="DN42" i="121" s="1"/>
  <c r="DN51" i="121" s="1"/>
  <c r="DN31" i="121"/>
  <c r="DN30" i="121"/>
  <c r="DN34" i="121"/>
  <c r="DN36" i="121"/>
  <c r="DN24" i="121"/>
  <c r="DN33" i="121"/>
  <c r="DN27" i="121"/>
  <c r="DN26" i="121"/>
  <c r="DN28" i="121"/>
  <c r="DN22" i="121"/>
  <c r="DN18" i="121"/>
  <c r="CO12" i="121"/>
  <c r="CN19" i="121"/>
  <c r="CN42" i="121" s="1"/>
  <c r="CN51" i="121" s="1"/>
  <c r="AI23" i="121"/>
  <c r="AN23" i="121" s="1"/>
  <c r="AE23" i="121" s="1"/>
  <c r="AO20" i="121"/>
  <c r="AJ17" i="121"/>
  <c r="AO17" i="121" s="1"/>
  <c r="DJ56" i="121"/>
  <c r="DL56" i="121" s="1"/>
  <c r="CJ56" i="121"/>
  <c r="DK5" i="121"/>
  <c r="BO29" i="121"/>
  <c r="BO45" i="121" s="1"/>
  <c r="BO54" i="121" s="1"/>
  <c r="CL51" i="121"/>
  <c r="CL47" i="121"/>
  <c r="BM56" i="121"/>
  <c r="AO24" i="121"/>
  <c r="AO22" i="121"/>
  <c r="AP27" i="121"/>
  <c r="BH21" i="121"/>
  <c r="AI30" i="121"/>
  <c r="BF30" i="121" s="1"/>
  <c r="AO18" i="121"/>
  <c r="AP35" i="121"/>
  <c r="AP36" i="121"/>
  <c r="AO26" i="121"/>
  <c r="AI35" i="121"/>
  <c r="BF35" i="121" s="1"/>
  <c r="AP33" i="121"/>
  <c r="AP30" i="121"/>
  <c r="AI26" i="121"/>
  <c r="AN26" i="121" s="1"/>
  <c r="AE26" i="121" s="1"/>
  <c r="AO35" i="121"/>
  <c r="AO34" i="121"/>
  <c r="AO31" i="121"/>
  <c r="AQ31" i="121" s="1"/>
  <c r="AP28" i="121"/>
  <c r="AO36" i="121"/>
  <c r="AI27" i="121"/>
  <c r="BF27" i="121" s="1"/>
  <c r="AI33" i="121"/>
  <c r="BF33" i="121" s="1"/>
  <c r="AO30" i="121"/>
  <c r="AI22" i="121"/>
  <c r="BF22" i="121" s="1"/>
  <c r="AO27" i="121"/>
  <c r="AI36" i="121"/>
  <c r="AN36" i="121" s="1"/>
  <c r="AE36" i="121" s="1"/>
  <c r="BP19" i="121"/>
  <c r="BP42" i="121" s="1"/>
  <c r="BP51" i="121" s="1"/>
  <c r="BQ12" i="121"/>
  <c r="BH19" i="121"/>
  <c r="AO33" i="121"/>
  <c r="AI34" i="121"/>
  <c r="BF34" i="121" s="1"/>
  <c r="AP24" i="121"/>
  <c r="AI17" i="121"/>
  <c r="AP23" i="121"/>
  <c r="BF31" i="121"/>
  <c r="BJ29" i="121"/>
  <c r="AN28" i="121"/>
  <c r="AE28" i="121" s="1"/>
  <c r="AM31" i="121"/>
  <c r="AL28" i="121"/>
  <c r="AN24" i="121"/>
  <c r="AE24" i="121" s="1"/>
  <c r="CM15" i="121"/>
  <c r="BN47" i="121"/>
  <c r="BN15" i="121"/>
  <c r="BO50" i="121"/>
  <c r="BG24" i="121" l="1"/>
  <c r="AG23" i="121"/>
  <c r="AG20" i="121"/>
  <c r="AH36" i="121"/>
  <c r="AQ20" i="121"/>
  <c r="BG18" i="121"/>
  <c r="BI27" i="121"/>
  <c r="AG30" i="121"/>
  <c r="BE30" i="121" s="1"/>
  <c r="AG35" i="121"/>
  <c r="BE35" i="121" s="1"/>
  <c r="BG30" i="121"/>
  <c r="AG22" i="121"/>
  <c r="AG31" i="121"/>
  <c r="AH31" i="121" s="1"/>
  <c r="AG18" i="121"/>
  <c r="AG27" i="121"/>
  <c r="BE27" i="121" s="1"/>
  <c r="AG17" i="121"/>
  <c r="BE17" i="121" s="1"/>
  <c r="BG23" i="121"/>
  <c r="BI17" i="121"/>
  <c r="BG27" i="121"/>
  <c r="BI24" i="121"/>
  <c r="AG24" i="121"/>
  <c r="AH24" i="121" s="1"/>
  <c r="DK6" i="121"/>
  <c r="AG26" i="121"/>
  <c r="BE26" i="121" s="1"/>
  <c r="BI35" i="121"/>
  <c r="BI33" i="121"/>
  <c r="AG34" i="121"/>
  <c r="BE34" i="121" s="1"/>
  <c r="AG33" i="121"/>
  <c r="AH33" i="121" s="1"/>
  <c r="AG28" i="121"/>
  <c r="BG20" i="121"/>
  <c r="BG19" i="121" s="1"/>
  <c r="BI18" i="121"/>
  <c r="BI31" i="121"/>
  <c r="BI29" i="121" s="1"/>
  <c r="BI20" i="121"/>
  <c r="BI19" i="121" s="1"/>
  <c r="BI23" i="121"/>
  <c r="BG33" i="121"/>
  <c r="BG22" i="121"/>
  <c r="BG26" i="121"/>
  <c r="BG34" i="121"/>
  <c r="BG31" i="121"/>
  <c r="BI36" i="121"/>
  <c r="BG17" i="121"/>
  <c r="BG16" i="121" s="1"/>
  <c r="BI34" i="121"/>
  <c r="DM15" i="121"/>
  <c r="BI22" i="121"/>
  <c r="BG35" i="121"/>
  <c r="BI28" i="121"/>
  <c r="BG28" i="121"/>
  <c r="BG36" i="121"/>
  <c r="BI26" i="121"/>
  <c r="BF29" i="121"/>
  <c r="BN56" i="121"/>
  <c r="DN29" i="121"/>
  <c r="DN45" i="121" s="1"/>
  <c r="DN54" i="121" s="1"/>
  <c r="AN17" i="121"/>
  <c r="AE17" i="121" s="1"/>
  <c r="AM17" i="121"/>
  <c r="CM47" i="121"/>
  <c r="DM47" i="121"/>
  <c r="DN25" i="121"/>
  <c r="DN44" i="121" s="1"/>
  <c r="DN53" i="121" s="1"/>
  <c r="BF26" i="121"/>
  <c r="BF25" i="121" s="1"/>
  <c r="AQ23" i="121"/>
  <c r="BF23" i="121"/>
  <c r="BF21" i="121" s="1"/>
  <c r="AN18" i="121"/>
  <c r="AE18" i="121" s="1"/>
  <c r="AL23" i="121"/>
  <c r="AL20" i="121"/>
  <c r="BO15" i="121"/>
  <c r="BO47" i="121"/>
  <c r="AL22" i="121"/>
  <c r="CN21" i="121"/>
  <c r="CN43" i="121" s="1"/>
  <c r="CN52" i="121" s="1"/>
  <c r="DN32" i="121"/>
  <c r="DN46" i="121" s="1"/>
  <c r="DN55" i="121" s="1"/>
  <c r="AN33" i="121"/>
  <c r="AE33" i="121" s="1"/>
  <c r="CN25" i="121"/>
  <c r="CN44" i="121" s="1"/>
  <c r="CN53" i="121" s="1"/>
  <c r="DN21" i="121"/>
  <c r="DN43" i="121" s="1"/>
  <c r="DN52" i="121" s="1"/>
  <c r="CN32" i="121"/>
  <c r="CN46" i="121" s="1"/>
  <c r="CN55" i="121" s="1"/>
  <c r="AM26" i="121"/>
  <c r="BF36" i="121"/>
  <c r="BF32" i="121" s="1"/>
  <c r="AM20" i="121"/>
  <c r="AM36" i="121"/>
  <c r="BH29" i="121"/>
  <c r="AM27" i="121"/>
  <c r="BJ25" i="121"/>
  <c r="AQ36" i="121"/>
  <c r="AM18" i="121"/>
  <c r="AN35" i="121"/>
  <c r="AE35" i="121" s="1"/>
  <c r="AL27" i="121"/>
  <c r="AN30" i="121"/>
  <c r="AE30" i="121" s="1"/>
  <c r="AL35" i="121"/>
  <c r="BH16" i="121"/>
  <c r="AQ26" i="121"/>
  <c r="AL24" i="121"/>
  <c r="AL18" i="121"/>
  <c r="BP16" i="121"/>
  <c r="BP41" i="121" s="1"/>
  <c r="BP50" i="121" s="1"/>
  <c r="BP29" i="121"/>
  <c r="BP45" i="121" s="1"/>
  <c r="BP54" i="121" s="1"/>
  <c r="CL56" i="121"/>
  <c r="CN16" i="121"/>
  <c r="AL26" i="121"/>
  <c r="DN16" i="121"/>
  <c r="BJ32" i="121"/>
  <c r="BH32" i="121"/>
  <c r="BJ16" i="121"/>
  <c r="CN29" i="121"/>
  <c r="CN45" i="121" s="1"/>
  <c r="CN54" i="121" s="1"/>
  <c r="AN27" i="121"/>
  <c r="AE27" i="121" s="1"/>
  <c r="CP12" i="121"/>
  <c r="CO19" i="121"/>
  <c r="CO42" i="121" s="1"/>
  <c r="CO51" i="121" s="1"/>
  <c r="DP12" i="121"/>
  <c r="DO27" i="121"/>
  <c r="DO20" i="121"/>
  <c r="DO19" i="121" s="1"/>
  <c r="DO42" i="121" s="1"/>
  <c r="DO51" i="121" s="1"/>
  <c r="DO35" i="121"/>
  <c r="DO30" i="121"/>
  <c r="DO17" i="121"/>
  <c r="DO23" i="121"/>
  <c r="DO31" i="121"/>
  <c r="DO22" i="121"/>
  <c r="DO26" i="121"/>
  <c r="DO24" i="121"/>
  <c r="DO33" i="121"/>
  <c r="DO28" i="121"/>
  <c r="DO34" i="121"/>
  <c r="DO36" i="121"/>
  <c r="DO18" i="121"/>
  <c r="AM35" i="121"/>
  <c r="BH25" i="121"/>
  <c r="AM30" i="121"/>
  <c r="AM28" i="121"/>
  <c r="AM33" i="121"/>
  <c r="AL17" i="121"/>
  <c r="AL30" i="121"/>
  <c r="BJ21" i="121"/>
  <c r="AM24" i="121"/>
  <c r="AL31" i="121"/>
  <c r="AN22" i="121"/>
  <c r="AL36" i="121"/>
  <c r="AM22" i="121"/>
  <c r="BF17" i="121"/>
  <c r="BF16" i="121" s="1"/>
  <c r="AL33" i="121"/>
  <c r="BP21" i="121"/>
  <c r="BP43" i="121" s="1"/>
  <c r="BP52" i="121" s="1"/>
  <c r="AL34" i="121"/>
  <c r="AN34" i="121"/>
  <c r="AE34" i="121" s="1"/>
  <c r="BP25" i="121"/>
  <c r="BP44" i="121" s="1"/>
  <c r="BP53" i="121" s="1"/>
  <c r="AM34" i="121"/>
  <c r="AM23" i="121"/>
  <c r="BP32" i="121"/>
  <c r="BP46" i="121" s="1"/>
  <c r="BP55" i="121" s="1"/>
  <c r="AQ17" i="121"/>
  <c r="BQ19" i="121"/>
  <c r="BQ42" i="121" s="1"/>
  <c r="BQ51" i="121" s="1"/>
  <c r="BR12" i="121"/>
  <c r="AQ28" i="121"/>
  <c r="BG29" i="121"/>
  <c r="AQ24" i="121"/>
  <c r="BE33" i="121"/>
  <c r="BE28" i="121"/>
  <c r="BE25" i="121" s="1"/>
  <c r="AH28" i="121"/>
  <c r="BE22" i="121"/>
  <c r="AH22" i="121"/>
  <c r="BE18" i="121"/>
  <c r="AH18" i="121"/>
  <c r="BE23" i="121"/>
  <c r="AH23" i="121"/>
  <c r="BE20" i="121"/>
  <c r="BE19" i="121" s="1"/>
  <c r="AH20" i="121"/>
  <c r="AH26" i="121"/>
  <c r="BE36" i="121" l="1"/>
  <c r="BE24" i="121"/>
  <c r="AH30" i="121"/>
  <c r="BI16" i="121"/>
  <c r="BE31" i="121"/>
  <c r="BI32" i="121"/>
  <c r="AH35" i="121"/>
  <c r="BG21" i="121"/>
  <c r="AH17" i="121"/>
  <c r="AH34" i="121"/>
  <c r="AH27" i="121"/>
  <c r="AQ30" i="121"/>
  <c r="BI21" i="121"/>
  <c r="BG25" i="121"/>
  <c r="P29" i="105" a="1"/>
  <c r="P29" i="105" s="1"/>
  <c r="B15" i="124"/>
  <c r="BI25" i="121"/>
  <c r="BG32" i="121"/>
  <c r="AQ33" i="121"/>
  <c r="DM56" i="121"/>
  <c r="AQ15" i="89"/>
  <c r="CM56" i="121"/>
  <c r="AQ18" i="89"/>
  <c r="BO56" i="121"/>
  <c r="AR17" i="89"/>
  <c r="AQ18" i="121"/>
  <c r="D67" i="89"/>
  <c r="AQ16" i="89"/>
  <c r="D66" i="89" s="1"/>
  <c r="AQ35" i="121"/>
  <c r="BQ29" i="121"/>
  <c r="BQ45" i="121" s="1"/>
  <c r="BQ54" i="121" s="1"/>
  <c r="DO29" i="121"/>
  <c r="DO45" i="121" s="1"/>
  <c r="DO54" i="121" s="1"/>
  <c r="DO32" i="121"/>
  <c r="DO46" i="121" s="1"/>
  <c r="DO55" i="121" s="1"/>
  <c r="AQ27" i="121"/>
  <c r="BH15" i="121"/>
  <c r="BH38" i="121" s="1"/>
  <c r="BJ15" i="121"/>
  <c r="BJ38" i="121" s="1"/>
  <c r="AA10" i="105" s="1"/>
  <c r="AA18" i="105" s="1"/>
  <c r="BQ21" i="121"/>
  <c r="BQ43" i="121" s="1"/>
  <c r="BQ52" i="121" s="1"/>
  <c r="DN41" i="121"/>
  <c r="DN15" i="121"/>
  <c r="BP47" i="121"/>
  <c r="DO21" i="121"/>
  <c r="DO43" i="121" s="1"/>
  <c r="DO52" i="121" s="1"/>
  <c r="DQ12" i="121"/>
  <c r="DP24" i="121"/>
  <c r="DP30" i="121"/>
  <c r="DP27" i="121"/>
  <c r="DP35" i="121"/>
  <c r="DP22" i="121"/>
  <c r="DP17" i="121"/>
  <c r="DP23" i="121"/>
  <c r="DP33" i="121"/>
  <c r="DP34" i="121"/>
  <c r="DP18" i="121"/>
  <c r="DP28" i="121"/>
  <c r="DP26" i="121"/>
  <c r="DP31" i="121"/>
  <c r="DP36" i="121"/>
  <c r="DP20" i="121"/>
  <c r="DP19" i="121" s="1"/>
  <c r="DP42" i="121" s="1"/>
  <c r="DP51" i="121" s="1"/>
  <c r="CQ12" i="121"/>
  <c r="CP19" i="121"/>
  <c r="CP42" i="121" s="1"/>
  <c r="CP51" i="121" s="1"/>
  <c r="CP16" i="121"/>
  <c r="CN41" i="121"/>
  <c r="CN15" i="121"/>
  <c r="CO16" i="121"/>
  <c r="CO21" i="121"/>
  <c r="CO43" i="121" s="1"/>
  <c r="CO52" i="121" s="1"/>
  <c r="CO32" i="121"/>
  <c r="CO46" i="121" s="1"/>
  <c r="CO55" i="121" s="1"/>
  <c r="BQ16" i="121"/>
  <c r="BQ41" i="121" s="1"/>
  <c r="BF15" i="121"/>
  <c r="BF38" i="121" s="1"/>
  <c r="AN38" i="121" s="1"/>
  <c r="CO29" i="121"/>
  <c r="CO45" i="121" s="1"/>
  <c r="CO54" i="121" s="1"/>
  <c r="DO25" i="121"/>
  <c r="DO44" i="121" s="1"/>
  <c r="DO53" i="121" s="1"/>
  <c r="DO16" i="121"/>
  <c r="CO25" i="121"/>
  <c r="CO44" i="121" s="1"/>
  <c r="CO53" i="121" s="1"/>
  <c r="AE22" i="121"/>
  <c r="AE38" i="121" s="1"/>
  <c r="AQ22" i="121"/>
  <c r="AQ34" i="121"/>
  <c r="BQ25" i="121"/>
  <c r="BQ44" i="121" s="1"/>
  <c r="BQ53" i="121" s="1"/>
  <c r="BP15" i="121"/>
  <c r="BR19" i="121"/>
  <c r="BR42" i="121" s="1"/>
  <c r="BR51" i="121" s="1"/>
  <c r="BS12" i="121"/>
  <c r="BQ32" i="121"/>
  <c r="BQ46" i="121" s="1"/>
  <c r="BQ55" i="121" s="1"/>
  <c r="BE16" i="121"/>
  <c r="BE21" i="121"/>
  <c r="BE32" i="121"/>
  <c r="BE29" i="121"/>
  <c r="BI15" i="121" l="1"/>
  <c r="BI38" i="121" s="1"/>
  <c r="E29" i="105" a="1"/>
  <c r="E29" i="105" s="1"/>
  <c r="B5" i="124" s="1"/>
  <c r="BG15" i="121"/>
  <c r="BG38" i="121" s="1"/>
  <c r="F29" i="105" a="1"/>
  <c r="F29" i="105" s="1"/>
  <c r="BP56" i="121"/>
  <c r="AS17" i="89"/>
  <c r="E67" i="89"/>
  <c r="AR16" i="89"/>
  <c r="E66" i="89" s="1"/>
  <c r="D65" i="89"/>
  <c r="AQ19" i="89"/>
  <c r="AQ14" i="89"/>
  <c r="D64" i="89" s="1"/>
  <c r="AQ20" i="89"/>
  <c r="D70" i="89" s="1"/>
  <c r="AK38" i="121"/>
  <c r="AO38" i="121"/>
  <c r="AQ38" i="121" s="1"/>
  <c r="AJ38" i="121"/>
  <c r="DP25" i="121"/>
  <c r="DP44" i="121" s="1"/>
  <c r="DP53" i="121" s="1"/>
  <c r="DP29" i="121"/>
  <c r="DP45" i="121" s="1"/>
  <c r="DP54" i="121" s="1"/>
  <c r="AI38" i="121"/>
  <c r="AP38" i="121"/>
  <c r="CN47" i="121"/>
  <c r="CN50" i="121"/>
  <c r="CP32" i="121"/>
  <c r="CP46" i="121" s="1"/>
  <c r="CP55" i="121" s="1"/>
  <c r="CR12" i="121"/>
  <c r="CQ19" i="121"/>
  <c r="CQ42" i="121" s="1"/>
  <c r="CQ51" i="121" s="1"/>
  <c r="DP32" i="121"/>
  <c r="DP46" i="121" s="1"/>
  <c r="DP55" i="121" s="1"/>
  <c r="DR12" i="121"/>
  <c r="DQ36" i="121"/>
  <c r="DQ24" i="121"/>
  <c r="DQ22" i="121"/>
  <c r="DQ27" i="121"/>
  <c r="DQ33" i="121"/>
  <c r="DQ35" i="121"/>
  <c r="DQ18" i="121"/>
  <c r="DQ34" i="121"/>
  <c r="DQ28" i="121"/>
  <c r="DQ23" i="121"/>
  <c r="DQ20" i="121"/>
  <c r="DQ19" i="121" s="1"/>
  <c r="DQ42" i="121" s="1"/>
  <c r="DQ51" i="121" s="1"/>
  <c r="DQ31" i="121"/>
  <c r="DQ26" i="121"/>
  <c r="DQ30" i="121"/>
  <c r="DQ17" i="121"/>
  <c r="DO41" i="121"/>
  <c r="DO15" i="121"/>
  <c r="CP21" i="121"/>
  <c r="CP43" i="121" s="1"/>
  <c r="CP52" i="121" s="1"/>
  <c r="DP16" i="121"/>
  <c r="CP29" i="121"/>
  <c r="CP45" i="121" s="1"/>
  <c r="CP54" i="121" s="1"/>
  <c r="DP21" i="121"/>
  <c r="DP43" i="121" s="1"/>
  <c r="DP52" i="121" s="1"/>
  <c r="CP41" i="121"/>
  <c r="BR16" i="121"/>
  <c r="BR41" i="121" s="1"/>
  <c r="DN50" i="121"/>
  <c r="DN47" i="121"/>
  <c r="CO41" i="121"/>
  <c r="CO15" i="121"/>
  <c r="BR29" i="121"/>
  <c r="BR45" i="121" s="1"/>
  <c r="BR54" i="121" s="1"/>
  <c r="BR25" i="121"/>
  <c r="BR44" i="121" s="1"/>
  <c r="BR53" i="121" s="1"/>
  <c r="BR32" i="121"/>
  <c r="BR46" i="121" s="1"/>
  <c r="BR55" i="121" s="1"/>
  <c r="CP25" i="121"/>
  <c r="CP44" i="121" s="1"/>
  <c r="CP53" i="121" s="1"/>
  <c r="BE15" i="121"/>
  <c r="BE38" i="121" s="1"/>
  <c r="AG38" i="121" s="1"/>
  <c r="BQ15" i="121"/>
  <c r="BQ50" i="121"/>
  <c r="BQ47" i="121"/>
  <c r="BS19" i="121"/>
  <c r="BS42" i="121" s="1"/>
  <c r="BS51" i="121" s="1"/>
  <c r="BT12" i="121"/>
  <c r="BR21" i="121"/>
  <c r="BR43" i="121" s="1"/>
  <c r="BR52" i="121" s="1"/>
  <c r="BQ56" i="121" l="1"/>
  <c r="AT17" i="89"/>
  <c r="DN56" i="121"/>
  <c r="AR15" i="89"/>
  <c r="F67" i="89"/>
  <c r="AS16" i="89"/>
  <c r="F66" i="89" s="1"/>
  <c r="CN56" i="121"/>
  <c r="AR18" i="89"/>
  <c r="AH38" i="121"/>
  <c r="DQ16" i="121"/>
  <c r="AL38" i="121"/>
  <c r="AM38" i="121"/>
  <c r="DQ21" i="121"/>
  <c r="DQ43" i="121" s="1"/>
  <c r="DQ52" i="121" s="1"/>
  <c r="DQ29" i="121"/>
  <c r="DQ45" i="121" s="1"/>
  <c r="DQ54" i="121" s="1"/>
  <c r="CQ25" i="121"/>
  <c r="CQ44" i="121" s="1"/>
  <c r="CQ53" i="121" s="1"/>
  <c r="CO47" i="121"/>
  <c r="CO50" i="121"/>
  <c r="DP41" i="121"/>
  <c r="DP15" i="121"/>
  <c r="DS12" i="121"/>
  <c r="DR28" i="121"/>
  <c r="DR22" i="121"/>
  <c r="DR18" i="121"/>
  <c r="DR36" i="121"/>
  <c r="DR33" i="121"/>
  <c r="DR24" i="121"/>
  <c r="DR27" i="121"/>
  <c r="DR26" i="121"/>
  <c r="DR31" i="121"/>
  <c r="DR20" i="121"/>
  <c r="DR19" i="121" s="1"/>
  <c r="DR42" i="121" s="1"/>
  <c r="DR51" i="121" s="1"/>
  <c r="DR35" i="121"/>
  <c r="DR23" i="121"/>
  <c r="DR34" i="121"/>
  <c r="DR17" i="121"/>
  <c r="DR30" i="121"/>
  <c r="CP15" i="121"/>
  <c r="CS12" i="121"/>
  <c r="CR19" i="121"/>
  <c r="CR42" i="121" s="1"/>
  <c r="CR51" i="121" s="1"/>
  <c r="CR25" i="121"/>
  <c r="CR44" i="121" s="1"/>
  <c r="CR53" i="121" s="1"/>
  <c r="CQ21" i="121"/>
  <c r="CQ43" i="121" s="1"/>
  <c r="CQ52" i="121" s="1"/>
  <c r="DQ25" i="121"/>
  <c r="DQ44" i="121" s="1"/>
  <c r="DQ53" i="121" s="1"/>
  <c r="CQ29" i="121"/>
  <c r="CQ45" i="121" s="1"/>
  <c r="CQ54" i="121" s="1"/>
  <c r="CQ32" i="121"/>
  <c r="CQ46" i="121" s="1"/>
  <c r="CQ55" i="121" s="1"/>
  <c r="DO47" i="121"/>
  <c r="DO50" i="121"/>
  <c r="DQ41" i="121"/>
  <c r="CP50" i="121"/>
  <c r="CP47" i="121"/>
  <c r="CQ16" i="121"/>
  <c r="BS32" i="121"/>
  <c r="BS46" i="121" s="1"/>
  <c r="BS55" i="121" s="1"/>
  <c r="DQ32" i="121"/>
  <c r="DQ46" i="121" s="1"/>
  <c r="DQ55" i="121" s="1"/>
  <c r="BS16" i="121"/>
  <c r="BS41" i="121" s="1"/>
  <c r="BS29" i="121"/>
  <c r="BS45" i="121" s="1"/>
  <c r="BS54" i="121" s="1"/>
  <c r="BS25" i="121"/>
  <c r="BS44" i="121" s="1"/>
  <c r="BS53" i="121" s="1"/>
  <c r="BT19" i="121"/>
  <c r="BT42" i="121" s="1"/>
  <c r="BT51" i="121" s="1"/>
  <c r="BU12" i="121"/>
  <c r="BS21" i="121"/>
  <c r="BS43" i="121" s="1"/>
  <c r="BS52" i="121" s="1"/>
  <c r="BR15" i="121"/>
  <c r="BR50" i="121"/>
  <c r="BR47" i="121"/>
  <c r="CO56" i="121" l="1"/>
  <c r="AS18" i="89"/>
  <c r="CP56" i="121"/>
  <c r="AT18" i="89"/>
  <c r="DO56" i="121"/>
  <c r="AS15" i="89"/>
  <c r="E65" i="89"/>
  <c r="AR14" i="89"/>
  <c r="E64" i="89" s="1"/>
  <c r="AR19" i="89"/>
  <c r="AR20" i="89"/>
  <c r="E70" i="89" s="1"/>
  <c r="BR56" i="121"/>
  <c r="AU17" i="89"/>
  <c r="G67" i="89"/>
  <c r="AT16" i="89"/>
  <c r="G66" i="89" s="1"/>
  <c r="CR16" i="121"/>
  <c r="CR29" i="121"/>
  <c r="CR45" i="121" s="1"/>
  <c r="CR54" i="121" s="1"/>
  <c r="DR21" i="121"/>
  <c r="DR43" i="121" s="1"/>
  <c r="DR52" i="121" s="1"/>
  <c r="CR32" i="121"/>
  <c r="CR46" i="121" s="1"/>
  <c r="CR55" i="121" s="1"/>
  <c r="DQ47" i="121"/>
  <c r="DQ50" i="121"/>
  <c r="DT12" i="121"/>
  <c r="DS34" i="121"/>
  <c r="DS33" i="121"/>
  <c r="DS28" i="121"/>
  <c r="DS18" i="121"/>
  <c r="DS36" i="121"/>
  <c r="DS26" i="121"/>
  <c r="DS24" i="121"/>
  <c r="DS35" i="121"/>
  <c r="DS23" i="121"/>
  <c r="DS31" i="121"/>
  <c r="DS22" i="121"/>
  <c r="DS27" i="121"/>
  <c r="DS20" i="121"/>
  <c r="DS19" i="121" s="1"/>
  <c r="DS42" i="121" s="1"/>
  <c r="DS51" i="121" s="1"/>
  <c r="DS30" i="121"/>
  <c r="DS17" i="121"/>
  <c r="CR21" i="121"/>
  <c r="CR43" i="121" s="1"/>
  <c r="CR52" i="121" s="1"/>
  <c r="DR29" i="121"/>
  <c r="DR45" i="121" s="1"/>
  <c r="DR54" i="121" s="1"/>
  <c r="DR16" i="121"/>
  <c r="DP50" i="121"/>
  <c r="DP47" i="121"/>
  <c r="DR32" i="121"/>
  <c r="DR46" i="121" s="1"/>
  <c r="DR55" i="121" s="1"/>
  <c r="CQ41" i="121"/>
  <c r="CQ15" i="121"/>
  <c r="CT12" i="121"/>
  <c r="CS19" i="121"/>
  <c r="CS42" i="121" s="1"/>
  <c r="CS51" i="121" s="1"/>
  <c r="CR41" i="121"/>
  <c r="DR25" i="121"/>
  <c r="DR44" i="121" s="1"/>
  <c r="DR53" i="121" s="1"/>
  <c r="DQ15" i="121"/>
  <c r="BT32" i="121"/>
  <c r="BT46" i="121" s="1"/>
  <c r="BT55" i="121" s="1"/>
  <c r="BT21" i="121"/>
  <c r="BT43" i="121" s="1"/>
  <c r="BT52" i="121" s="1"/>
  <c r="BT29" i="121"/>
  <c r="BT45" i="121" s="1"/>
  <c r="BT54" i="121" s="1"/>
  <c r="BT16" i="121"/>
  <c r="BT41" i="121" s="1"/>
  <c r="BV12" i="121"/>
  <c r="BU19" i="121"/>
  <c r="BU42" i="121" s="1"/>
  <c r="BU51" i="121" s="1"/>
  <c r="BS15" i="121"/>
  <c r="BS50" i="121"/>
  <c r="BS47" i="121"/>
  <c r="BT25" i="121"/>
  <c r="BT44" i="121" s="1"/>
  <c r="BT53" i="121" s="1"/>
  <c r="DQ56" i="121" l="1"/>
  <c r="AU15" i="89"/>
  <c r="DP56" i="121"/>
  <c r="AT15" i="89"/>
  <c r="AS14" i="89"/>
  <c r="F64" i="89" s="1"/>
  <c r="AS19" i="89"/>
  <c r="AS20" i="89"/>
  <c r="F70" i="89" s="1"/>
  <c r="F65" i="89"/>
  <c r="AU16" i="89"/>
  <c r="H66" i="89" s="1"/>
  <c r="H67" i="89"/>
  <c r="BS56" i="121"/>
  <c r="AV17" i="89"/>
  <c r="CR15" i="121"/>
  <c r="BU21" i="121"/>
  <c r="BU43" i="121" s="1"/>
  <c r="BU52" i="121" s="1"/>
  <c r="CS29" i="121"/>
  <c r="CS45" i="121" s="1"/>
  <c r="CS54" i="121" s="1"/>
  <c r="CS16" i="121"/>
  <c r="CS41" i="121" s="1"/>
  <c r="CS32" i="121"/>
  <c r="CS46" i="121" s="1"/>
  <c r="CS55" i="121" s="1"/>
  <c r="CS25" i="121"/>
  <c r="CS44" i="121" s="1"/>
  <c r="CS53" i="121" s="1"/>
  <c r="DS21" i="121"/>
  <c r="DS43" i="121" s="1"/>
  <c r="DS52" i="121" s="1"/>
  <c r="CS21" i="121"/>
  <c r="CS43" i="121" s="1"/>
  <c r="CS52" i="121" s="1"/>
  <c r="DR15" i="121"/>
  <c r="DR41" i="121"/>
  <c r="DS32" i="121"/>
  <c r="DS46" i="121" s="1"/>
  <c r="DS55" i="121" s="1"/>
  <c r="CR50" i="121"/>
  <c r="CR47" i="121"/>
  <c r="CU12" i="121"/>
  <c r="CT29" i="121"/>
  <c r="CT45" i="121" s="1"/>
  <c r="CT54" i="121" s="1"/>
  <c r="CT19" i="121"/>
  <c r="CT42" i="121" s="1"/>
  <c r="CT51" i="121" s="1"/>
  <c r="DU12" i="121"/>
  <c r="DT31" i="121"/>
  <c r="DT34" i="121"/>
  <c r="DT26" i="121"/>
  <c r="DT28" i="121"/>
  <c r="DT18" i="121"/>
  <c r="DT36" i="121"/>
  <c r="DT20" i="121"/>
  <c r="DT19" i="121" s="1"/>
  <c r="DT42" i="121" s="1"/>
  <c r="DT51" i="121" s="1"/>
  <c r="DT22" i="121"/>
  <c r="DT27" i="121"/>
  <c r="DT23" i="121"/>
  <c r="DT33" i="121"/>
  <c r="DT24" i="121"/>
  <c r="DT30" i="121"/>
  <c r="DT17" i="121"/>
  <c r="DT35" i="121"/>
  <c r="BU16" i="121"/>
  <c r="BU41" i="121" s="1"/>
  <c r="DS16" i="121"/>
  <c r="BT15" i="121"/>
  <c r="CQ50" i="121"/>
  <c r="CQ47" i="121"/>
  <c r="DS29" i="121"/>
  <c r="DS45" i="121" s="1"/>
  <c r="DS54" i="121" s="1"/>
  <c r="DS25" i="121"/>
  <c r="DS44" i="121" s="1"/>
  <c r="DS53" i="121" s="1"/>
  <c r="BU25" i="121"/>
  <c r="BU44" i="121" s="1"/>
  <c r="BU53" i="121" s="1"/>
  <c r="BU32" i="121"/>
  <c r="BU46" i="121" s="1"/>
  <c r="BU55" i="121" s="1"/>
  <c r="BT50" i="121"/>
  <c r="BT47" i="121"/>
  <c r="BU29" i="121"/>
  <c r="BU45" i="121" s="1"/>
  <c r="BU54" i="121" s="1"/>
  <c r="BW12" i="121"/>
  <c r="BV19" i="121"/>
  <c r="BV42" i="121" s="1"/>
  <c r="BV51" i="121" s="1"/>
  <c r="CQ56" i="121" l="1"/>
  <c r="AU18" i="89"/>
  <c r="CR56" i="121"/>
  <c r="AV18" i="89"/>
  <c r="AT14" i="89"/>
  <c r="G64" i="89" s="1"/>
  <c r="AT19" i="89"/>
  <c r="AT20" i="89"/>
  <c r="G70" i="89" s="1"/>
  <c r="G65" i="89"/>
  <c r="AU14" i="89"/>
  <c r="H64" i="89" s="1"/>
  <c r="H65" i="89"/>
  <c r="AU20" i="89"/>
  <c r="H70" i="89" s="1"/>
  <c r="BT56" i="121"/>
  <c r="AW17" i="89"/>
  <c r="I67" i="89"/>
  <c r="AV16" i="89"/>
  <c r="I66" i="89" s="1"/>
  <c r="BV25" i="121"/>
  <c r="BV44" i="121" s="1"/>
  <c r="BV53" i="121" s="1"/>
  <c r="DT32" i="121"/>
  <c r="DT46" i="121" s="1"/>
  <c r="DT55" i="121" s="1"/>
  <c r="CT25" i="121"/>
  <c r="CT44" i="121" s="1"/>
  <c r="CT53" i="121" s="1"/>
  <c r="CT21" i="121"/>
  <c r="CT43" i="121" s="1"/>
  <c r="CT52" i="121" s="1"/>
  <c r="DT29" i="121"/>
  <c r="DT45" i="121" s="1"/>
  <c r="DT54" i="121" s="1"/>
  <c r="CS15" i="121"/>
  <c r="CS50" i="121"/>
  <c r="CS47" i="121"/>
  <c r="DT25" i="121"/>
  <c r="DT44" i="121" s="1"/>
  <c r="DT53" i="121" s="1"/>
  <c r="DR50" i="121"/>
  <c r="DR47" i="121"/>
  <c r="DS15" i="121"/>
  <c r="DS41" i="121"/>
  <c r="DT21" i="121"/>
  <c r="DT43" i="121" s="1"/>
  <c r="DT52" i="121" s="1"/>
  <c r="DV12" i="121"/>
  <c r="DU23" i="121"/>
  <c r="DU26" i="121"/>
  <c r="DU31" i="121"/>
  <c r="DU34" i="121"/>
  <c r="DU20" i="121"/>
  <c r="DU19" i="121" s="1"/>
  <c r="DU42" i="121" s="1"/>
  <c r="DU51" i="121" s="1"/>
  <c r="DU28" i="121"/>
  <c r="DU30" i="121"/>
  <c r="DU33" i="121"/>
  <c r="DU17" i="121"/>
  <c r="DU18" i="121"/>
  <c r="DU24" i="121"/>
  <c r="DU27" i="121"/>
  <c r="DU22" i="121"/>
  <c r="DU35" i="121"/>
  <c r="DU36" i="121"/>
  <c r="CV12" i="121"/>
  <c r="CU29" i="121"/>
  <c r="CU45" i="121" s="1"/>
  <c r="CU54" i="121" s="1"/>
  <c r="CU19" i="121"/>
  <c r="CU42" i="121" s="1"/>
  <c r="CU51" i="121" s="1"/>
  <c r="CT16" i="121"/>
  <c r="DT16" i="121"/>
  <c r="CT32" i="121"/>
  <c r="CT46" i="121" s="1"/>
  <c r="CT55" i="121" s="1"/>
  <c r="BV21" i="121"/>
  <c r="BV43" i="121" s="1"/>
  <c r="BV52" i="121" s="1"/>
  <c r="BV16" i="121"/>
  <c r="BV41" i="121" s="1"/>
  <c r="BX12" i="121"/>
  <c r="BW29" i="121"/>
  <c r="BW45" i="121" s="1"/>
  <c r="BW54" i="121" s="1"/>
  <c r="BW19" i="121"/>
  <c r="BW42" i="121" s="1"/>
  <c r="BW51" i="121" s="1"/>
  <c r="BV29" i="121"/>
  <c r="BV45" i="121" s="1"/>
  <c r="BV54" i="121" s="1"/>
  <c r="BU15" i="121"/>
  <c r="BV32" i="121"/>
  <c r="BV46" i="121" s="1"/>
  <c r="BV55" i="121" s="1"/>
  <c r="BU50" i="121"/>
  <c r="BU47" i="121"/>
  <c r="CS56" i="121" l="1"/>
  <c r="AW18" i="89"/>
  <c r="AU19" i="89"/>
  <c r="DR56" i="121"/>
  <c r="AV15" i="89"/>
  <c r="DU29" i="121"/>
  <c r="DU45" i="121" s="1"/>
  <c r="DU54" i="121" s="1"/>
  <c r="BU56" i="121"/>
  <c r="AX17" i="89"/>
  <c r="AW16" i="89"/>
  <c r="J66" i="89" s="1"/>
  <c r="J67" i="89"/>
  <c r="DU21" i="121"/>
  <c r="DU43" i="121" s="1"/>
  <c r="DU52" i="121" s="1"/>
  <c r="CU21" i="121"/>
  <c r="CU43" i="121" s="1"/>
  <c r="CU52" i="121" s="1"/>
  <c r="DS50" i="121"/>
  <c r="DS47" i="121"/>
  <c r="CU32" i="121"/>
  <c r="CU46" i="121" s="1"/>
  <c r="CU55" i="121" s="1"/>
  <c r="CU25" i="121"/>
  <c r="CU44" i="121" s="1"/>
  <c r="CU53" i="121" s="1"/>
  <c r="DU25" i="121"/>
  <c r="DU44" i="121" s="1"/>
  <c r="DU53" i="121" s="1"/>
  <c r="BW21" i="121"/>
  <c r="BW43" i="121" s="1"/>
  <c r="BW52" i="121" s="1"/>
  <c r="CU16" i="121"/>
  <c r="DU16" i="121"/>
  <c r="DT41" i="121"/>
  <c r="DT15" i="121"/>
  <c r="CT41" i="121"/>
  <c r="CT15" i="121"/>
  <c r="CW12" i="121"/>
  <c r="CV19" i="121"/>
  <c r="CV42" i="121" s="1"/>
  <c r="CV51" i="121" s="1"/>
  <c r="DU32" i="121"/>
  <c r="DU46" i="121" s="1"/>
  <c r="DU55" i="121" s="1"/>
  <c r="DW12" i="121"/>
  <c r="DV35" i="121"/>
  <c r="DV17" i="121"/>
  <c r="DV23" i="121"/>
  <c r="DV20" i="121"/>
  <c r="DV19" i="121" s="1"/>
  <c r="DV42" i="121" s="1"/>
  <c r="DV51" i="121" s="1"/>
  <c r="DV31" i="121"/>
  <c r="DV30" i="121"/>
  <c r="DV34" i="121"/>
  <c r="DV18" i="121"/>
  <c r="DV24" i="121"/>
  <c r="DV36" i="121"/>
  <c r="DV33" i="121"/>
  <c r="DV28" i="121"/>
  <c r="DV22" i="121"/>
  <c r="DV26" i="121"/>
  <c r="DV27" i="121"/>
  <c r="BW32" i="121"/>
  <c r="BW46" i="121" s="1"/>
  <c r="BW55" i="121" s="1"/>
  <c r="BW16" i="121"/>
  <c r="BW41" i="121" s="1"/>
  <c r="BW25" i="121"/>
  <c r="BW44" i="121" s="1"/>
  <c r="BW53" i="121" s="1"/>
  <c r="BV15" i="121"/>
  <c r="BV50" i="121"/>
  <c r="BV47" i="121"/>
  <c r="BY12" i="121"/>
  <c r="BX19" i="121"/>
  <c r="BX42" i="121" s="1"/>
  <c r="BX51" i="121" s="1"/>
  <c r="DS56" i="121" l="1"/>
  <c r="AW15" i="89"/>
  <c r="I65" i="89"/>
  <c r="AV14" i="89"/>
  <c r="I64" i="89" s="1"/>
  <c r="AV20" i="89"/>
  <c r="I70" i="89" s="1"/>
  <c r="AV19" i="89"/>
  <c r="DV29" i="121"/>
  <c r="DV45" i="121" s="1"/>
  <c r="DV54" i="121" s="1"/>
  <c r="BV56" i="121"/>
  <c r="AY17" i="89"/>
  <c r="AX16" i="89"/>
  <c r="K66" i="89" s="1"/>
  <c r="K67" i="89"/>
  <c r="CV25" i="121"/>
  <c r="CV44" i="121" s="1"/>
  <c r="CV53" i="121" s="1"/>
  <c r="DV25" i="121"/>
  <c r="DV44" i="121" s="1"/>
  <c r="DV53" i="121" s="1"/>
  <c r="DV16" i="121"/>
  <c r="DV41" i="121" s="1"/>
  <c r="BX29" i="121"/>
  <c r="BX45" i="121" s="1"/>
  <c r="BX54" i="121" s="1"/>
  <c r="CV21" i="121"/>
  <c r="CV43" i="121" s="1"/>
  <c r="CV52" i="121" s="1"/>
  <c r="CU41" i="121"/>
  <c r="CU15" i="121"/>
  <c r="DU41" i="121"/>
  <c r="DU15" i="121"/>
  <c r="DX12" i="121"/>
  <c r="DW27" i="121"/>
  <c r="DW20" i="121"/>
  <c r="DW19" i="121" s="1"/>
  <c r="DW42" i="121" s="1"/>
  <c r="DW51" i="121" s="1"/>
  <c r="DW35" i="121"/>
  <c r="DW30" i="121"/>
  <c r="DW17" i="121"/>
  <c r="DW23" i="121"/>
  <c r="DW31" i="121"/>
  <c r="DW22" i="121"/>
  <c r="DW36" i="121"/>
  <c r="DW34" i="121"/>
  <c r="DW26" i="121"/>
  <c r="DW33" i="121"/>
  <c r="DW18" i="121"/>
  <c r="DW24" i="121"/>
  <c r="DW28" i="121"/>
  <c r="CX12" i="121"/>
  <c r="CW19" i="121"/>
  <c r="CW42" i="121" s="1"/>
  <c r="CW51" i="121" s="1"/>
  <c r="DV21" i="121"/>
  <c r="DV43" i="121" s="1"/>
  <c r="DV52" i="121" s="1"/>
  <c r="CV29" i="121"/>
  <c r="CV45" i="121" s="1"/>
  <c r="CV54" i="121" s="1"/>
  <c r="CT50" i="121"/>
  <c r="CT47" i="121"/>
  <c r="BW15" i="121"/>
  <c r="BX16" i="121"/>
  <c r="BX41" i="121" s="1"/>
  <c r="DV32" i="121"/>
  <c r="DV46" i="121" s="1"/>
  <c r="DV55" i="121" s="1"/>
  <c r="CV16" i="121"/>
  <c r="CV32" i="121"/>
  <c r="CV46" i="121" s="1"/>
  <c r="CV55" i="121" s="1"/>
  <c r="DT50" i="121"/>
  <c r="DT47" i="121"/>
  <c r="BX32" i="121"/>
  <c r="BX46" i="121" s="1"/>
  <c r="BX55" i="121" s="1"/>
  <c r="BZ12" i="121"/>
  <c r="BY19" i="121"/>
  <c r="BY42" i="121" s="1"/>
  <c r="BY51" i="121" s="1"/>
  <c r="BW50" i="121"/>
  <c r="BW47" i="121"/>
  <c r="BX25" i="121"/>
  <c r="BX44" i="121" s="1"/>
  <c r="BX53" i="121" s="1"/>
  <c r="BX21" i="121"/>
  <c r="BX43" i="121" s="1"/>
  <c r="BX52" i="121" s="1"/>
  <c r="CT56" i="121" l="1"/>
  <c r="AX18" i="89"/>
  <c r="AW14" i="89"/>
  <c r="J64" i="89" s="1"/>
  <c r="AW20" i="89"/>
  <c r="J70" i="89" s="1"/>
  <c r="J65" i="89"/>
  <c r="AW19" i="89"/>
  <c r="DT56" i="121"/>
  <c r="AX15" i="89"/>
  <c r="BW56" i="121"/>
  <c r="AZ17" i="89"/>
  <c r="L67" i="89"/>
  <c r="AY16" i="89"/>
  <c r="L66" i="89" s="1"/>
  <c r="DW32" i="121"/>
  <c r="DW46" i="121" s="1"/>
  <c r="DW55" i="121" s="1"/>
  <c r="DW21" i="121"/>
  <c r="DW43" i="121" s="1"/>
  <c r="DW52" i="121" s="1"/>
  <c r="CY12" i="121"/>
  <c r="CX29" i="121"/>
  <c r="CX45" i="121" s="1"/>
  <c r="CX54" i="121" s="1"/>
  <c r="CX16" i="121"/>
  <c r="CX19" i="121"/>
  <c r="CX42" i="121" s="1"/>
  <c r="CX51" i="121" s="1"/>
  <c r="DY12" i="121"/>
  <c r="DX24" i="121"/>
  <c r="DX30" i="121"/>
  <c r="DX27" i="121"/>
  <c r="DX35" i="121"/>
  <c r="DX22" i="121"/>
  <c r="DX17" i="121"/>
  <c r="DX23" i="121"/>
  <c r="DX33" i="121"/>
  <c r="DX34" i="121"/>
  <c r="DX28" i="121"/>
  <c r="DX20" i="121"/>
  <c r="DX19" i="121" s="1"/>
  <c r="DX42" i="121" s="1"/>
  <c r="DX51" i="121" s="1"/>
  <c r="DX31" i="121"/>
  <c r="DX26" i="121"/>
  <c r="DX18" i="121"/>
  <c r="CV15" i="121"/>
  <c r="CV41" i="121"/>
  <c r="CW25" i="121"/>
  <c r="CW44" i="121" s="1"/>
  <c r="CW53" i="121" s="1"/>
  <c r="DU50" i="121"/>
  <c r="DU47" i="121"/>
  <c r="CW29" i="121"/>
  <c r="CW45" i="121" s="1"/>
  <c r="CW54" i="121" s="1"/>
  <c r="DW16" i="121"/>
  <c r="DV15" i="121"/>
  <c r="DW29" i="121"/>
  <c r="DW45" i="121" s="1"/>
  <c r="DW54" i="121" s="1"/>
  <c r="DV50" i="121"/>
  <c r="DV47" i="121"/>
  <c r="DW25" i="121"/>
  <c r="DW44" i="121" s="1"/>
  <c r="DW53" i="121" s="1"/>
  <c r="CW32" i="121"/>
  <c r="CW46" i="121" s="1"/>
  <c r="CW55" i="121" s="1"/>
  <c r="CU50" i="121"/>
  <c r="CU47" i="121"/>
  <c r="BY21" i="121"/>
  <c r="BY43" i="121" s="1"/>
  <c r="BY52" i="121" s="1"/>
  <c r="CW16" i="121"/>
  <c r="BY25" i="121"/>
  <c r="BY44" i="121" s="1"/>
  <c r="BY53" i="121" s="1"/>
  <c r="CW21" i="121"/>
  <c r="CW43" i="121" s="1"/>
  <c r="CW52" i="121" s="1"/>
  <c r="BY16" i="121"/>
  <c r="BY32" i="121"/>
  <c r="BY46" i="121" s="1"/>
  <c r="BY55" i="121" s="1"/>
  <c r="BX15" i="121"/>
  <c r="BX47" i="121"/>
  <c r="BX50" i="121"/>
  <c r="BY29" i="121"/>
  <c r="BY45" i="121" s="1"/>
  <c r="BY54" i="121" s="1"/>
  <c r="CA12" i="121"/>
  <c r="BZ16" i="121"/>
  <c r="BZ19" i="121"/>
  <c r="BZ42" i="121" s="1"/>
  <c r="BZ51" i="121" s="1"/>
  <c r="AN9" i="105" l="1" a="1"/>
  <c r="AN9" i="105" s="1"/>
  <c r="AP9" i="105" s="1"/>
  <c r="CU56" i="121"/>
  <c r="AY18" i="89"/>
  <c r="AX19" i="89"/>
  <c r="AX20" i="89"/>
  <c r="K70" i="89" s="1"/>
  <c r="K65" i="89"/>
  <c r="AX14" i="89"/>
  <c r="K64" i="89" s="1"/>
  <c r="DU56" i="121"/>
  <c r="AY15" i="89"/>
  <c r="DV56" i="121"/>
  <c r="AZ15" i="89"/>
  <c r="M67" i="89"/>
  <c r="AZ16" i="89"/>
  <c r="M66" i="89" s="1"/>
  <c r="BX56" i="121"/>
  <c r="BA17" i="89"/>
  <c r="DX25" i="121"/>
  <c r="DX44" i="121" s="1"/>
  <c r="DX53" i="121" s="1"/>
  <c r="CX32" i="121"/>
  <c r="CX46" i="121" s="1"/>
  <c r="CX55" i="121" s="1"/>
  <c r="CX21" i="121"/>
  <c r="CX43" i="121" s="1"/>
  <c r="CX52" i="121" s="1"/>
  <c r="DX16" i="121"/>
  <c r="DX21" i="121"/>
  <c r="DX43" i="121" s="1"/>
  <c r="DX52" i="121" s="1"/>
  <c r="DW41" i="121"/>
  <c r="DW15" i="121"/>
  <c r="CX25" i="121"/>
  <c r="CX44" i="121" s="1"/>
  <c r="CX53" i="121" s="1"/>
  <c r="DX29" i="121"/>
  <c r="DX45" i="121" s="1"/>
  <c r="DX54" i="121" s="1"/>
  <c r="CX41" i="121"/>
  <c r="CV50" i="121"/>
  <c r="CV47" i="121"/>
  <c r="CW41" i="121"/>
  <c r="CW15" i="121"/>
  <c r="DX32" i="121"/>
  <c r="DX46" i="121" s="1"/>
  <c r="DX55" i="121" s="1"/>
  <c r="DZ12" i="121"/>
  <c r="DY36" i="121"/>
  <c r="DY24" i="121"/>
  <c r="DY22" i="121"/>
  <c r="DY27" i="121"/>
  <c r="DY33" i="121"/>
  <c r="DY35" i="121"/>
  <c r="DY34" i="121"/>
  <c r="DY20" i="121"/>
  <c r="DY19" i="121" s="1"/>
  <c r="DY42" i="121" s="1"/>
  <c r="DY51" i="121" s="1"/>
  <c r="DY28" i="121"/>
  <c r="DY30" i="121"/>
  <c r="DY17" i="121"/>
  <c r="DY23" i="121"/>
  <c r="DY26" i="121"/>
  <c r="DY31" i="121"/>
  <c r="DY18" i="121"/>
  <c r="CZ12" i="121"/>
  <c r="CY16" i="121"/>
  <c r="CY29" i="121"/>
  <c r="CY45" i="121" s="1"/>
  <c r="CY54" i="121" s="1"/>
  <c r="CY19" i="121"/>
  <c r="CY42" i="121" s="1"/>
  <c r="CY51" i="121" s="1"/>
  <c r="BZ21" i="121"/>
  <c r="BZ43" i="121" s="1"/>
  <c r="BZ52" i="121" s="1"/>
  <c r="BZ41" i="121"/>
  <c r="BZ25" i="121"/>
  <c r="BZ44" i="121" s="1"/>
  <c r="BZ53" i="121" s="1"/>
  <c r="CB12" i="121"/>
  <c r="CA19" i="121"/>
  <c r="CA42" i="121" s="1"/>
  <c r="CA51" i="121" s="1"/>
  <c r="BZ29" i="121"/>
  <c r="BZ45" i="121" s="1"/>
  <c r="BZ54" i="121" s="1"/>
  <c r="BZ32" i="121"/>
  <c r="BZ46" i="121" s="1"/>
  <c r="BZ55" i="121" s="1"/>
  <c r="BY41" i="121"/>
  <c r="BY15" i="121"/>
  <c r="AO9" i="105" l="1"/>
  <c r="H26" i="105" s="1"/>
  <c r="G26" i="105"/>
  <c r="AN10" i="105" a="1"/>
  <c r="AN10" i="105" s="1"/>
  <c r="CV56" i="121"/>
  <c r="AZ18" i="89"/>
  <c r="L65" i="89"/>
  <c r="AY20" i="89"/>
  <c r="L70" i="89" s="1"/>
  <c r="AY19" i="89"/>
  <c r="AZ14" i="89"/>
  <c r="M64" i="89" s="1"/>
  <c r="AZ20" i="89"/>
  <c r="M70" i="89" s="1"/>
  <c r="M65" i="89"/>
  <c r="AY14" i="89"/>
  <c r="L64" i="89" s="1"/>
  <c r="N67" i="89"/>
  <c r="BA16" i="89"/>
  <c r="N66" i="89" s="1"/>
  <c r="CY32" i="121"/>
  <c r="CY46" i="121" s="1"/>
  <c r="CY55" i="121" s="1"/>
  <c r="CY21" i="121"/>
  <c r="CY43" i="121" s="1"/>
  <c r="CY52" i="121" s="1"/>
  <c r="DY25" i="121"/>
  <c r="DY44" i="121" s="1"/>
  <c r="DY53" i="121" s="1"/>
  <c r="CX50" i="121"/>
  <c r="CX47" i="121"/>
  <c r="DA12" i="121"/>
  <c r="CZ19" i="121"/>
  <c r="CZ42" i="121" s="1"/>
  <c r="CZ51" i="121" s="1"/>
  <c r="EA12" i="121"/>
  <c r="DZ28" i="121"/>
  <c r="DZ22" i="121"/>
  <c r="DZ18" i="121"/>
  <c r="DZ36" i="121"/>
  <c r="DZ33" i="121"/>
  <c r="DZ24" i="121"/>
  <c r="DZ27" i="121"/>
  <c r="DZ26" i="121"/>
  <c r="DZ35" i="121"/>
  <c r="DZ30" i="121"/>
  <c r="DZ23" i="121"/>
  <c r="DZ34" i="121"/>
  <c r="DZ17" i="121"/>
  <c r="DZ31" i="121"/>
  <c r="DZ20" i="121"/>
  <c r="DZ19" i="121" s="1"/>
  <c r="DZ42" i="121" s="1"/>
  <c r="DZ51" i="121" s="1"/>
  <c r="CY41" i="121"/>
  <c r="DY32" i="121"/>
  <c r="DY46" i="121" s="1"/>
  <c r="DY55" i="121" s="1"/>
  <c r="AX10" i="105" s="1" a="1"/>
  <c r="AX10" i="105" s="1"/>
  <c r="CW50" i="121"/>
  <c r="CW47" i="121"/>
  <c r="DW47" i="121"/>
  <c r="DW50" i="121"/>
  <c r="DY16" i="121"/>
  <c r="DY21" i="121"/>
  <c r="DY43" i="121" s="1"/>
  <c r="DY52" i="121" s="1"/>
  <c r="DX41" i="121"/>
  <c r="DX15" i="121"/>
  <c r="CY25" i="121"/>
  <c r="CY44" i="121" s="1"/>
  <c r="CY53" i="121" s="1"/>
  <c r="DY29" i="121"/>
  <c r="DY45" i="121" s="1"/>
  <c r="DY54" i="121" s="1"/>
  <c r="AX9" i="105" s="1" a="1"/>
  <c r="AX9" i="105" s="1"/>
  <c r="CX15" i="121"/>
  <c r="CA21" i="121"/>
  <c r="CA43" i="121" s="1"/>
  <c r="CA52" i="121" s="1"/>
  <c r="CA16" i="121"/>
  <c r="CA41" i="121" s="1"/>
  <c r="CA32" i="121"/>
  <c r="CA46" i="121" s="1"/>
  <c r="CA55" i="121" s="1"/>
  <c r="BY50" i="121"/>
  <c r="BY47" i="121"/>
  <c r="CA25" i="121"/>
  <c r="CA44" i="121" s="1"/>
  <c r="CA53" i="121" s="1"/>
  <c r="CC12" i="121"/>
  <c r="CB19" i="121"/>
  <c r="CB42" i="121" s="1"/>
  <c r="CB51" i="121" s="1"/>
  <c r="BZ50" i="121"/>
  <c r="BZ47" i="121"/>
  <c r="CA29" i="121"/>
  <c r="CA45" i="121" s="1"/>
  <c r="CA54" i="121" s="1"/>
  <c r="BZ15" i="121"/>
  <c r="AY9" i="105" l="1"/>
  <c r="R26" i="105" s="1"/>
  <c r="AS9" i="105"/>
  <c r="Q26" i="105"/>
  <c r="AZ9" i="105"/>
  <c r="AZ10" i="105"/>
  <c r="AY10" i="105"/>
  <c r="R27" i="105" s="1"/>
  <c r="Q27" i="105"/>
  <c r="AS10" i="105"/>
  <c r="L27" i="105" s="1"/>
  <c r="AO10" i="105"/>
  <c r="H27" i="105" s="1"/>
  <c r="G27" i="105"/>
  <c r="G29" i="105" s="1" a="1"/>
  <c r="G29" i="105" s="1"/>
  <c r="B6" i="124" s="1"/>
  <c r="AP10" i="105"/>
  <c r="AT9" i="105"/>
  <c r="M26" i="105" s="1"/>
  <c r="L26" i="105"/>
  <c r="AU9" i="105"/>
  <c r="N26" i="105" s="1"/>
  <c r="Q29" i="105" a="1"/>
  <c r="Q29" i="105" s="1"/>
  <c r="B16" i="124" s="1"/>
  <c r="CW56" i="121"/>
  <c r="BA18" i="89"/>
  <c r="CX56" i="121"/>
  <c r="BB18" i="89"/>
  <c r="AZ19" i="89"/>
  <c r="DW56" i="121"/>
  <c r="BA15" i="89"/>
  <c r="DZ29" i="121"/>
  <c r="DZ45" i="121" s="1"/>
  <c r="DZ54" i="121" s="1"/>
  <c r="BY56" i="121"/>
  <c r="BB17" i="89"/>
  <c r="BZ56" i="121"/>
  <c r="BC17" i="89"/>
  <c r="CZ25" i="121"/>
  <c r="CZ44" i="121" s="1"/>
  <c r="CZ53" i="121" s="1"/>
  <c r="CY15" i="121"/>
  <c r="CZ16" i="121"/>
  <c r="CZ41" i="121" s="1"/>
  <c r="DZ16" i="121"/>
  <c r="DZ41" i="121" s="1"/>
  <c r="CZ29" i="121"/>
  <c r="CZ45" i="121" s="1"/>
  <c r="CZ54" i="121" s="1"/>
  <c r="DZ32" i="121"/>
  <c r="DZ46" i="121" s="1"/>
  <c r="DZ55" i="121" s="1"/>
  <c r="DZ21" i="121"/>
  <c r="DZ43" i="121" s="1"/>
  <c r="DZ52" i="121" s="1"/>
  <c r="DX47" i="121"/>
  <c r="DX50" i="121"/>
  <c r="CY47" i="121"/>
  <c r="CY50" i="121"/>
  <c r="DZ25" i="121"/>
  <c r="DZ44" i="121" s="1"/>
  <c r="DZ53" i="121" s="1"/>
  <c r="EB12" i="121"/>
  <c r="EA34" i="121"/>
  <c r="EA33" i="121"/>
  <c r="EA28" i="121"/>
  <c r="EA18" i="121"/>
  <c r="EA36" i="121"/>
  <c r="EA26" i="121"/>
  <c r="EA24" i="121"/>
  <c r="EA35" i="121"/>
  <c r="EA17" i="121"/>
  <c r="EA23" i="121"/>
  <c r="EA27" i="121"/>
  <c r="EA30" i="121"/>
  <c r="EA20" i="121"/>
  <c r="EA19" i="121" s="1"/>
  <c r="EA42" i="121" s="1"/>
  <c r="EA51" i="121" s="1"/>
  <c r="EA22" i="121"/>
  <c r="EA31" i="121"/>
  <c r="DB12" i="121"/>
  <c r="DA19" i="121"/>
  <c r="DA42" i="121" s="1"/>
  <c r="DA51" i="121" s="1"/>
  <c r="DY15" i="121"/>
  <c r="DY41" i="121"/>
  <c r="CZ32" i="121"/>
  <c r="CZ46" i="121" s="1"/>
  <c r="CZ55" i="121" s="1"/>
  <c r="CZ21" i="121"/>
  <c r="CZ43" i="121" s="1"/>
  <c r="CZ52" i="121" s="1"/>
  <c r="CB25" i="121"/>
  <c r="CB44" i="121" s="1"/>
  <c r="CB53" i="121" s="1"/>
  <c r="CB21" i="121"/>
  <c r="CB43" i="121" s="1"/>
  <c r="CB52" i="121" s="1"/>
  <c r="CD12" i="121"/>
  <c r="CC19" i="121"/>
  <c r="CC42" i="121" s="1"/>
  <c r="CC51" i="121" s="1"/>
  <c r="CC29" i="121"/>
  <c r="CC45" i="121" s="1"/>
  <c r="CC54" i="121" s="1"/>
  <c r="CB32" i="121"/>
  <c r="CB46" i="121" s="1"/>
  <c r="CB55" i="121" s="1"/>
  <c r="CA15" i="121"/>
  <c r="CB29" i="121"/>
  <c r="CB45" i="121" s="1"/>
  <c r="CB54" i="121" s="1"/>
  <c r="CA50" i="121"/>
  <c r="CA47" i="121"/>
  <c r="CB16" i="121"/>
  <c r="AU10" i="105" l="1"/>
  <c r="AT10" i="105"/>
  <c r="M27" i="105" s="1"/>
  <c r="CY56" i="121"/>
  <c r="BC18" i="89"/>
  <c r="DX56" i="121"/>
  <c r="BB15" i="89"/>
  <c r="O65" i="89" s="1"/>
  <c r="C6" i="124" s="1"/>
  <c r="BA14" i="89"/>
  <c r="N64" i="89" s="1"/>
  <c r="BA19" i="89"/>
  <c r="BA20" i="89"/>
  <c r="N70" i="89" s="1"/>
  <c r="N65" i="89"/>
  <c r="BC16" i="89"/>
  <c r="P66" i="89" s="1"/>
  <c r="C10" i="124" s="1"/>
  <c r="P67" i="89"/>
  <c r="C15" i="124" s="1"/>
  <c r="O67" i="89"/>
  <c r="BB16" i="89"/>
  <c r="O66" i="89" s="1"/>
  <c r="CA56" i="121"/>
  <c r="BD17" i="89"/>
  <c r="DA21" i="121"/>
  <c r="DA43" i="121" s="1"/>
  <c r="DA52" i="121" s="1"/>
  <c r="EA29" i="121"/>
  <c r="EA45" i="121" s="1"/>
  <c r="EA54" i="121" s="1"/>
  <c r="CZ15" i="121"/>
  <c r="DA29" i="121"/>
  <c r="DA45" i="121" s="1"/>
  <c r="DA54" i="121" s="1"/>
  <c r="CZ50" i="121"/>
  <c r="CZ47" i="121"/>
  <c r="CZ56" i="121" s="1"/>
  <c r="EA32" i="121"/>
  <c r="EA46" i="121" s="1"/>
  <c r="EA55" i="121" s="1"/>
  <c r="DY47" i="121"/>
  <c r="DY50" i="121"/>
  <c r="DA16" i="121"/>
  <c r="EA16" i="121"/>
  <c r="DC12" i="121"/>
  <c r="DB19" i="121"/>
  <c r="DB42" i="121" s="1"/>
  <c r="DB51" i="121" s="1"/>
  <c r="EC12" i="121"/>
  <c r="EB31" i="121"/>
  <c r="EB34" i="121"/>
  <c r="EB26" i="121"/>
  <c r="EB28" i="121"/>
  <c r="EB18" i="121"/>
  <c r="EB36" i="121"/>
  <c r="EB20" i="121"/>
  <c r="EB19" i="121" s="1"/>
  <c r="EB42" i="121" s="1"/>
  <c r="EB51" i="121" s="1"/>
  <c r="EB35" i="121"/>
  <c r="EB23" i="121"/>
  <c r="EB27" i="121"/>
  <c r="EB17" i="121"/>
  <c r="EB30" i="121"/>
  <c r="EB24" i="121"/>
  <c r="EB22" i="121"/>
  <c r="EB33" i="121"/>
  <c r="DA25" i="121"/>
  <c r="DA44" i="121" s="1"/>
  <c r="DA53" i="121" s="1"/>
  <c r="EA21" i="121"/>
  <c r="EA43" i="121" s="1"/>
  <c r="EA52" i="121" s="1"/>
  <c r="EA25" i="121"/>
  <c r="EA44" i="121" s="1"/>
  <c r="EA53" i="121" s="1"/>
  <c r="DZ47" i="121"/>
  <c r="DZ56" i="121" s="1"/>
  <c r="DZ50" i="121"/>
  <c r="CC25" i="121"/>
  <c r="CC44" i="121" s="1"/>
  <c r="CC53" i="121" s="1"/>
  <c r="DA32" i="121"/>
  <c r="DA46" i="121" s="1"/>
  <c r="DA55" i="121" s="1"/>
  <c r="DZ15" i="121"/>
  <c r="CC16" i="121"/>
  <c r="CC41" i="121" s="1"/>
  <c r="CC21" i="121"/>
  <c r="CC43" i="121" s="1"/>
  <c r="CC52" i="121" s="1"/>
  <c r="CB41" i="121"/>
  <c r="CB15" i="121"/>
  <c r="CC32" i="121"/>
  <c r="CC46" i="121" s="1"/>
  <c r="CC55" i="121" s="1"/>
  <c r="CE12" i="121"/>
  <c r="CD19" i="121"/>
  <c r="CD42" i="121" s="1"/>
  <c r="CD51" i="121" s="1"/>
  <c r="D15" i="124" l="1"/>
  <c r="C5" i="124"/>
  <c r="D5" i="124" s="1"/>
  <c r="D6" i="124"/>
  <c r="EB29" i="121"/>
  <c r="EB45" i="121" s="1"/>
  <c r="EB54" i="121" s="1"/>
  <c r="EB16" i="121"/>
  <c r="EB41" i="121" s="1"/>
  <c r="DY56" i="121"/>
  <c r="BC15" i="89"/>
  <c r="P65" i="89" s="1"/>
  <c r="C16" i="124" s="1"/>
  <c r="D16" i="124" s="1"/>
  <c r="BB14" i="89"/>
  <c r="O64" i="89" s="1"/>
  <c r="BB19" i="89"/>
  <c r="BB20" i="89"/>
  <c r="O70" i="89" s="1"/>
  <c r="C7" i="124" s="1"/>
  <c r="BD16" i="89"/>
  <c r="Q66" i="89" s="1"/>
  <c r="Q67" i="89"/>
  <c r="DB25" i="121"/>
  <c r="DB44" i="121" s="1"/>
  <c r="DB53" i="121" s="1"/>
  <c r="CD21" i="121"/>
  <c r="CD43" i="121" s="1"/>
  <c r="CD52" i="121" s="1"/>
  <c r="EB21" i="121"/>
  <c r="EB43" i="121" s="1"/>
  <c r="EB52" i="121" s="1"/>
  <c r="DA41" i="121"/>
  <c r="DA15" i="121"/>
  <c r="DB16" i="121"/>
  <c r="EB25" i="121"/>
  <c r="EB44" i="121" s="1"/>
  <c r="EB53" i="121" s="1"/>
  <c r="DB21" i="121"/>
  <c r="DB43" i="121" s="1"/>
  <c r="DB52" i="121" s="1"/>
  <c r="DB29" i="121"/>
  <c r="DB45" i="121" s="1"/>
  <c r="DB54" i="121" s="1"/>
  <c r="ED12" i="121"/>
  <c r="EC23" i="121"/>
  <c r="EC26" i="121"/>
  <c r="EC31" i="121"/>
  <c r="EC34" i="121"/>
  <c r="EC20" i="121"/>
  <c r="EC19" i="121" s="1"/>
  <c r="EC42" i="121" s="1"/>
  <c r="EC51" i="121" s="1"/>
  <c r="EC28" i="121"/>
  <c r="EC30" i="121"/>
  <c r="EC27" i="121"/>
  <c r="EC22" i="121"/>
  <c r="EC35" i="121"/>
  <c r="EC36" i="121"/>
  <c r="EC33" i="121"/>
  <c r="EC17" i="121"/>
  <c r="EC24" i="121"/>
  <c r="EC18" i="121"/>
  <c r="DD12" i="121"/>
  <c r="DC19" i="121"/>
  <c r="DC42" i="121" s="1"/>
  <c r="DC51" i="121" s="1"/>
  <c r="EB32" i="121"/>
  <c r="EB46" i="121" s="1"/>
  <c r="EB55" i="121" s="1"/>
  <c r="DB32" i="121"/>
  <c r="DB46" i="121" s="1"/>
  <c r="DB55" i="121" s="1"/>
  <c r="EA41" i="121"/>
  <c r="EA15" i="121"/>
  <c r="CC15" i="121"/>
  <c r="CC50" i="121"/>
  <c r="CC47" i="121"/>
  <c r="CF12" i="121"/>
  <c r="CE32" i="121"/>
  <c r="CE46" i="121" s="1"/>
  <c r="CE55" i="121" s="1"/>
  <c r="CE19" i="121"/>
  <c r="CE42" i="121" s="1"/>
  <c r="CE51" i="121" s="1"/>
  <c r="CD16" i="121"/>
  <c r="CD25" i="121"/>
  <c r="CD44" i="121" s="1"/>
  <c r="CD53" i="121" s="1"/>
  <c r="CD32" i="121"/>
  <c r="CD46" i="121" s="1"/>
  <c r="CD55" i="121" s="1"/>
  <c r="CD29" i="121"/>
  <c r="CD45" i="121" s="1"/>
  <c r="CD54" i="121" s="1"/>
  <c r="CB50" i="121"/>
  <c r="CB47" i="121"/>
  <c r="BC14" i="89" l="1"/>
  <c r="P64" i="89" s="1"/>
  <c r="C11" i="124" s="1"/>
  <c r="C12" i="124" s="1"/>
  <c r="BC20" i="89"/>
  <c r="P70" i="89" s="1"/>
  <c r="C17" i="124" s="1"/>
  <c r="BC19" i="89"/>
  <c r="CC56" i="121"/>
  <c r="BF17" i="89"/>
  <c r="CB56" i="121"/>
  <c r="BE17" i="89"/>
  <c r="EC32" i="121"/>
  <c r="EC46" i="121" s="1"/>
  <c r="EC55" i="121" s="1"/>
  <c r="DC16" i="121"/>
  <c r="DC41" i="121" s="1"/>
  <c r="EC29" i="121"/>
  <c r="EC45" i="121" s="1"/>
  <c r="EC54" i="121" s="1"/>
  <c r="EB15" i="121"/>
  <c r="DC25" i="121"/>
  <c r="DC44" i="121" s="1"/>
  <c r="DC53" i="121" s="1"/>
  <c r="EB50" i="121"/>
  <c r="EB47" i="121"/>
  <c r="EB56" i="121" s="1"/>
  <c r="EC16" i="121"/>
  <c r="CE25" i="121"/>
  <c r="CE44" i="121" s="1"/>
  <c r="CE53" i="121" s="1"/>
  <c r="DC29" i="121"/>
  <c r="DC45" i="121" s="1"/>
  <c r="DC54" i="121" s="1"/>
  <c r="DC21" i="121"/>
  <c r="DC43" i="121" s="1"/>
  <c r="DC52" i="121" s="1"/>
  <c r="EA50" i="121"/>
  <c r="EA47" i="121"/>
  <c r="EA56" i="121" s="1"/>
  <c r="DC32" i="121"/>
  <c r="DC46" i="121" s="1"/>
  <c r="DC55" i="121" s="1"/>
  <c r="EC25" i="121"/>
  <c r="EC44" i="121" s="1"/>
  <c r="EC53" i="121" s="1"/>
  <c r="DB41" i="121"/>
  <c r="DB15" i="121"/>
  <c r="EC21" i="121"/>
  <c r="EC43" i="121" s="1"/>
  <c r="EC52" i="121" s="1"/>
  <c r="CE29" i="121"/>
  <c r="CE45" i="121" s="1"/>
  <c r="CE54" i="121" s="1"/>
  <c r="DE12" i="121"/>
  <c r="DD16" i="121"/>
  <c r="DD19" i="121"/>
  <c r="DD42" i="121" s="1"/>
  <c r="DD51" i="121" s="1"/>
  <c r="EE12" i="121"/>
  <c r="ED35" i="121"/>
  <c r="ED17" i="121"/>
  <c r="ED23" i="121"/>
  <c r="ED20" i="121"/>
  <c r="ED19" i="121" s="1"/>
  <c r="ED42" i="121" s="1"/>
  <c r="ED51" i="121" s="1"/>
  <c r="ED31" i="121"/>
  <c r="ED30" i="121"/>
  <c r="ED34" i="121"/>
  <c r="ED24" i="121"/>
  <c r="ED18" i="121"/>
  <c r="ED27" i="121"/>
  <c r="ED26" i="121"/>
  <c r="ED28" i="121"/>
  <c r="ED22" i="121"/>
  <c r="ED36" i="121"/>
  <c r="ED33" i="121"/>
  <c r="DA50" i="121"/>
  <c r="DA47" i="121"/>
  <c r="DA56" i="121" s="1"/>
  <c r="CE16" i="121"/>
  <c r="CD41" i="121"/>
  <c r="CD15" i="121"/>
  <c r="CG12" i="121"/>
  <c r="CF19" i="121"/>
  <c r="CF42" i="121" s="1"/>
  <c r="CF51" i="121" s="1"/>
  <c r="CE21" i="121"/>
  <c r="CE43" i="121" s="1"/>
  <c r="CE52" i="121" s="1"/>
  <c r="BE16" i="89" l="1"/>
  <c r="R66" i="89" s="1"/>
  <c r="R67" i="89"/>
  <c r="BF16" i="89"/>
  <c r="S66" i="89" s="1"/>
  <c r="S67" i="89"/>
  <c r="DD29" i="121"/>
  <c r="DD45" i="121" s="1"/>
  <c r="DD54" i="121" s="1"/>
  <c r="ED21" i="121"/>
  <c r="ED43" i="121" s="1"/>
  <c r="ED52" i="121" s="1"/>
  <c r="DD25" i="121"/>
  <c r="DD44" i="121" s="1"/>
  <c r="DD53" i="121" s="1"/>
  <c r="ED16" i="121"/>
  <c r="ED41" i="121" s="1"/>
  <c r="CE15" i="121"/>
  <c r="CE41" i="121"/>
  <c r="CE47" i="121" s="1"/>
  <c r="ED29" i="121"/>
  <c r="ED45" i="121" s="1"/>
  <c r="ED54" i="121" s="1"/>
  <c r="DD41" i="121"/>
  <c r="DD32" i="121"/>
  <c r="DD46" i="121" s="1"/>
  <c r="DD55" i="121" s="1"/>
  <c r="DB50" i="121"/>
  <c r="DB47" i="121"/>
  <c r="DB56" i="121" s="1"/>
  <c r="EC41" i="121"/>
  <c r="EC15" i="121"/>
  <c r="ED25" i="121"/>
  <c r="ED44" i="121" s="1"/>
  <c r="ED53" i="121" s="1"/>
  <c r="DD21" i="121"/>
  <c r="DD43" i="121" s="1"/>
  <c r="DD52" i="121" s="1"/>
  <c r="CF16" i="121"/>
  <c r="CF41" i="121" s="1"/>
  <c r="EF12" i="121"/>
  <c r="EE27" i="121"/>
  <c r="EE20" i="121"/>
  <c r="EE19" i="121" s="1"/>
  <c r="EE42" i="121" s="1"/>
  <c r="EE51" i="121" s="1"/>
  <c r="EE35" i="121"/>
  <c r="EE30" i="121"/>
  <c r="EE17" i="121"/>
  <c r="EE23" i="121"/>
  <c r="EE31" i="121"/>
  <c r="EE22" i="121"/>
  <c r="EE26" i="121"/>
  <c r="EE24" i="121"/>
  <c r="EE18" i="121"/>
  <c r="EE34" i="121"/>
  <c r="EE33" i="121"/>
  <c r="EE28" i="121"/>
  <c r="EE36" i="121"/>
  <c r="DF12" i="121"/>
  <c r="DE19" i="121"/>
  <c r="DE42" i="121" s="1"/>
  <c r="DE51" i="121" s="1"/>
  <c r="DC15" i="121"/>
  <c r="CF32" i="121"/>
  <c r="CF46" i="121" s="1"/>
  <c r="CF55" i="121" s="1"/>
  <c r="ED32" i="121"/>
  <c r="ED46" i="121" s="1"/>
  <c r="ED55" i="121" s="1"/>
  <c r="DC50" i="121"/>
  <c r="DC47" i="121"/>
  <c r="DC56" i="121" s="1"/>
  <c r="CF25" i="121"/>
  <c r="CF44" i="121" s="1"/>
  <c r="CF53" i="121" s="1"/>
  <c r="CF21" i="121"/>
  <c r="CF43" i="121" s="1"/>
  <c r="CF52" i="121" s="1"/>
  <c r="CH12" i="121"/>
  <c r="CG19" i="121"/>
  <c r="CG42" i="121" s="1"/>
  <c r="CG51" i="121" s="1"/>
  <c r="CG29" i="121"/>
  <c r="CG45" i="121" s="1"/>
  <c r="CG54" i="121" s="1"/>
  <c r="CF29" i="121"/>
  <c r="CF45" i="121" s="1"/>
  <c r="CF54" i="121" s="1"/>
  <c r="CD50" i="121"/>
  <c r="CD47" i="121"/>
  <c r="CD56" i="121" l="1"/>
  <c r="BG17" i="89"/>
  <c r="CE56" i="121"/>
  <c r="BH17" i="89"/>
  <c r="CE50" i="121"/>
  <c r="EE32" i="121"/>
  <c r="EE46" i="121" s="1"/>
  <c r="EE55" i="121" s="1"/>
  <c r="DE29" i="121"/>
  <c r="DE45" i="121" s="1"/>
  <c r="DE54" i="121" s="1"/>
  <c r="CG21" i="121"/>
  <c r="CG43" i="121" s="1"/>
  <c r="CG52" i="121" s="1"/>
  <c r="EE16" i="121"/>
  <c r="EE41" i="121" s="1"/>
  <c r="DE32" i="121"/>
  <c r="DE46" i="121" s="1"/>
  <c r="DE55" i="121" s="1"/>
  <c r="EE25" i="121"/>
  <c r="EE44" i="121" s="1"/>
  <c r="EE53" i="121" s="1"/>
  <c r="EC50" i="121"/>
  <c r="EC47" i="121"/>
  <c r="EC56" i="121" s="1"/>
  <c r="DG12" i="121"/>
  <c r="DF19" i="121"/>
  <c r="DF42" i="121" s="1"/>
  <c r="DF51" i="121" s="1"/>
  <c r="EE21" i="121"/>
  <c r="EE43" i="121" s="1"/>
  <c r="EE52" i="121" s="1"/>
  <c r="EG12" i="121"/>
  <c r="EF24" i="121"/>
  <c r="EF30" i="121"/>
  <c r="EF27" i="121"/>
  <c r="EF35" i="121"/>
  <c r="EF22" i="121"/>
  <c r="EF17" i="121"/>
  <c r="EF23" i="121"/>
  <c r="EF33" i="121"/>
  <c r="EF34" i="121"/>
  <c r="EF18" i="121"/>
  <c r="EF28" i="121"/>
  <c r="EF26" i="121"/>
  <c r="EF36" i="121"/>
  <c r="EF20" i="121"/>
  <c r="EF19" i="121" s="1"/>
  <c r="EF42" i="121" s="1"/>
  <c r="EF51" i="121" s="1"/>
  <c r="EF31" i="121"/>
  <c r="DE16" i="121"/>
  <c r="ED15" i="121"/>
  <c r="DD15" i="121"/>
  <c r="DE21" i="121"/>
  <c r="DE43" i="121" s="1"/>
  <c r="DE52" i="121" s="1"/>
  <c r="EE29" i="121"/>
  <c r="EE45" i="121" s="1"/>
  <c r="EE54" i="121" s="1"/>
  <c r="ED50" i="121"/>
  <c r="ED47" i="121"/>
  <c r="ED56" i="121" s="1"/>
  <c r="DD47" i="121"/>
  <c r="DD56" i="121" s="1"/>
  <c r="DD50" i="121"/>
  <c r="DE25" i="121"/>
  <c r="DE44" i="121" s="1"/>
  <c r="DE53" i="121" s="1"/>
  <c r="CG16" i="121"/>
  <c r="CG41" i="121" s="1"/>
  <c r="CG25" i="121"/>
  <c r="CG44" i="121" s="1"/>
  <c r="CG53" i="121" s="1"/>
  <c r="CH19" i="121"/>
  <c r="CH42" i="121" s="1"/>
  <c r="CH51" i="121" s="1"/>
  <c r="CF15" i="121"/>
  <c r="CF47" i="121"/>
  <c r="CF50" i="121"/>
  <c r="CG32" i="121"/>
  <c r="CG46" i="121" s="1"/>
  <c r="CG55" i="121" s="1"/>
  <c r="U67" i="89" l="1"/>
  <c r="BH16" i="89"/>
  <c r="U66" i="89" s="1"/>
  <c r="CF56" i="121"/>
  <c r="BI17" i="89"/>
  <c r="T67" i="89"/>
  <c r="BG16" i="89"/>
  <c r="T66" i="89" s="1"/>
  <c r="DF29" i="121"/>
  <c r="DF45" i="121" s="1"/>
  <c r="DF54" i="121" s="1"/>
  <c r="CH16" i="121"/>
  <c r="CH41" i="121" s="1"/>
  <c r="EE15" i="121"/>
  <c r="EF29" i="121"/>
  <c r="EF45" i="121" s="1"/>
  <c r="EF54" i="121" s="1"/>
  <c r="DF21" i="121"/>
  <c r="DF43" i="121" s="1"/>
  <c r="DF52" i="121" s="1"/>
  <c r="CH29" i="121"/>
  <c r="CH45" i="121" s="1"/>
  <c r="CH54" i="121" s="1"/>
  <c r="DF32" i="121"/>
  <c r="DF46" i="121" s="1"/>
  <c r="DF55" i="121" s="1"/>
  <c r="DF25" i="121"/>
  <c r="DF44" i="121" s="1"/>
  <c r="DF53" i="121" s="1"/>
  <c r="EE47" i="121"/>
  <c r="EE56" i="121" s="1"/>
  <c r="EE50" i="121"/>
  <c r="DE41" i="121"/>
  <c r="DE15" i="121"/>
  <c r="EF32" i="121"/>
  <c r="EF46" i="121" s="1"/>
  <c r="EF55" i="121" s="1"/>
  <c r="EG36" i="121"/>
  <c r="EG24" i="121"/>
  <c r="EG22" i="121"/>
  <c r="EG27" i="121"/>
  <c r="EG33" i="121"/>
  <c r="EG35" i="121"/>
  <c r="EG18" i="121"/>
  <c r="EG34" i="121"/>
  <c r="EG23" i="121"/>
  <c r="EG30" i="121"/>
  <c r="EG20" i="121"/>
  <c r="EG19" i="121" s="1"/>
  <c r="EG42" i="121" s="1"/>
  <c r="EG51" i="121" s="1"/>
  <c r="EG17" i="121"/>
  <c r="EG26" i="121"/>
  <c r="EG31" i="121"/>
  <c r="EG28" i="121"/>
  <c r="DG19" i="121"/>
  <c r="DG42" i="121" s="1"/>
  <c r="DG51" i="121" s="1"/>
  <c r="EF16" i="121"/>
  <c r="EF21" i="121"/>
  <c r="EF43" i="121" s="1"/>
  <c r="EF52" i="121" s="1"/>
  <c r="EF25" i="121"/>
  <c r="EF44" i="121" s="1"/>
  <c r="EF53" i="121" s="1"/>
  <c r="DF16" i="121"/>
  <c r="CH32" i="121"/>
  <c r="CH46" i="121" s="1"/>
  <c r="CH55" i="121" s="1"/>
  <c r="CG15" i="121"/>
  <c r="CH21" i="121"/>
  <c r="CH43" i="121" s="1"/>
  <c r="CH52" i="121" s="1"/>
  <c r="CH25" i="121"/>
  <c r="CH44" i="121" s="1"/>
  <c r="CH53" i="121" s="1"/>
  <c r="CG50" i="121"/>
  <c r="CG47" i="121"/>
  <c r="EG29" i="121" l="1"/>
  <c r="EG45" i="121" s="1"/>
  <c r="EG54" i="121" s="1"/>
  <c r="V67" i="89"/>
  <c r="BI16" i="89"/>
  <c r="V66" i="89" s="1"/>
  <c r="CG56" i="121"/>
  <c r="BJ17" i="89"/>
  <c r="DG29" i="121"/>
  <c r="DG45" i="121" s="1"/>
  <c r="DG54" i="121" s="1"/>
  <c r="DG25" i="121"/>
  <c r="DG44" i="121" s="1"/>
  <c r="DG53" i="121" s="1"/>
  <c r="DG32" i="121"/>
  <c r="DG46" i="121" s="1"/>
  <c r="DG55" i="121" s="1"/>
  <c r="DG21" i="121"/>
  <c r="DG43" i="121" s="1"/>
  <c r="DG52" i="121" s="1"/>
  <c r="DE50" i="121"/>
  <c r="DE47" i="121"/>
  <c r="DE56" i="121" s="1"/>
  <c r="EF41" i="121"/>
  <c r="EF15" i="121"/>
  <c r="EG25" i="121"/>
  <c r="EG44" i="121" s="1"/>
  <c r="EG53" i="121" s="1"/>
  <c r="EG32" i="121"/>
  <c r="EG46" i="121" s="1"/>
  <c r="EG55" i="121" s="1"/>
  <c r="DF41" i="121"/>
  <c r="DF15" i="121"/>
  <c r="DG16" i="121"/>
  <c r="EG16" i="121"/>
  <c r="EG21" i="121"/>
  <c r="EG43" i="121" s="1"/>
  <c r="EG52" i="121" s="1"/>
  <c r="CH47" i="121"/>
  <c r="CH50" i="121"/>
  <c r="CH15" i="121"/>
  <c r="CH56" i="121" l="1"/>
  <c r="BK17" i="89"/>
  <c r="W67" i="89"/>
  <c r="BJ16" i="89"/>
  <c r="W66" i="89" s="1"/>
  <c r="EF50" i="121"/>
  <c r="EF47" i="121"/>
  <c r="EF56" i="121" s="1"/>
  <c r="DG41" i="121"/>
  <c r="DG15" i="121"/>
  <c r="EG41" i="121"/>
  <c r="EG15" i="121"/>
  <c r="DF50" i="121"/>
  <c r="DF47" i="121"/>
  <c r="DF56" i="121" s="1"/>
  <c r="BK16" i="89" l="1"/>
  <c r="X66" i="89" s="1"/>
  <c r="X67" i="89"/>
  <c r="EG47" i="121"/>
  <c r="EG56" i="121" s="1"/>
  <c r="EG50" i="121"/>
  <c r="DG47" i="121"/>
  <c r="DG56" i="121" s="1"/>
  <c r="DG50" i="121"/>
  <c r="A8" i="114" l="1"/>
  <c r="E1" i="114" l="1"/>
  <c r="D1" i="101"/>
  <c r="D1" i="102"/>
  <c r="E1" i="105"/>
  <c r="D1" i="113" l="1"/>
  <c r="E4" i="105"/>
  <c r="E6" i="105"/>
  <c r="AA7" i="105" l="1"/>
  <c r="AA16" i="105" s="1"/>
  <c r="K29" i="105" l="1" a="1"/>
  <c r="K29" i="105" s="1"/>
  <c r="I29" i="105" a="1"/>
  <c r="I29" i="105" s="1"/>
  <c r="L29" i="105" l="1" a="1"/>
  <c r="L29" i="105" s="1"/>
  <c r="B11" i="124" s="1"/>
  <c r="S29" i="105" a="1"/>
  <c r="S29" i="105" s="1"/>
  <c r="AA8" i="105" l="1"/>
  <c r="AA17" i="105" s="1"/>
  <c r="B12" i="105" s="1"/>
  <c r="N29" i="105" a="1"/>
  <c r="N29" i="105" s="1"/>
  <c r="J29" i="105" l="1" a="1"/>
  <c r="J29" i="105" s="1"/>
  <c r="B10" i="124" s="1"/>
  <c r="D10" i="124" s="1"/>
  <c r="H29" i="105" a="1"/>
  <c r="H29" i="105" s="1"/>
  <c r="B7" i="124" s="1"/>
  <c r="D7" i="124" s="1"/>
  <c r="R29" i="105" l="1" a="1"/>
  <c r="R29" i="105" s="1"/>
  <c r="B17" i="124" s="1"/>
  <c r="D17" i="124" s="1"/>
  <c r="M29" i="105" a="1"/>
  <c r="M29" i="105" s="1"/>
  <c r="B12" i="124" l="1"/>
  <c r="D12" i="124" s="1"/>
  <c r="AA9" i="10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Adinda Riana</author>
  </authors>
  <commentList>
    <comment ref="K2" authorId="0" shapeId="0" xr:uid="{A975293C-BEE6-4350-BA9D-C3B1322DE6DB}">
      <text>
        <r>
          <rPr>
            <b/>
            <sz val="9"/>
            <color indexed="81"/>
            <rFont val="Tahoma"/>
            <family val="2"/>
          </rPr>
          <t>Adinda Riana:</t>
        </r>
        <r>
          <rPr>
            <sz val="9"/>
            <color indexed="81"/>
            <rFont val="Tahoma"/>
            <family val="2"/>
          </rPr>
          <t xml:space="preserve">
Logo Kontraktor</t>
        </r>
      </text>
    </comment>
    <comment ref="B3" authorId="0" shapeId="0" xr:uid="{B5948DF4-F639-4D27-8E14-E814B47E8D87}">
      <text>
        <r>
          <rPr>
            <b/>
            <sz val="9"/>
            <color rgb="FF000000"/>
            <rFont val="Tahoma"/>
            <family val="2"/>
          </rPr>
          <t>Adinda Riana:</t>
        </r>
        <r>
          <rPr>
            <sz val="9"/>
            <color rgb="FF000000"/>
            <rFont val="Tahoma"/>
            <family val="2"/>
          </rPr>
          <t xml:space="preserve">
</t>
        </r>
        <r>
          <rPr>
            <sz val="9"/>
            <color rgb="FF000000"/>
            <rFont val="Tahoma"/>
            <family val="2"/>
          </rPr>
          <t>Judul Project Sesuai dengan Judul Kontrak</t>
        </r>
      </text>
    </comment>
    <comment ref="M3" authorId="0" shapeId="0" xr:uid="{9C1C7205-CACB-4661-A704-C245DDE22239}">
      <text>
        <r>
          <rPr>
            <b/>
            <sz val="9"/>
            <color rgb="FF000000"/>
            <rFont val="Tahoma"/>
            <family val="2"/>
          </rPr>
          <t>Adinda Riana:</t>
        </r>
        <r>
          <rPr>
            <sz val="9"/>
            <color rgb="FF000000"/>
            <rFont val="Tahoma"/>
            <family val="2"/>
          </rPr>
          <t xml:space="preserve">
</t>
        </r>
        <r>
          <rPr>
            <sz val="9"/>
            <color rgb="FF000000"/>
            <rFont val="Tahoma"/>
            <family val="2"/>
          </rPr>
          <t>nomor dokumen weekly di mulai dari 0001 sampai seterusnya</t>
        </r>
      </text>
    </comment>
    <comment ref="B4" authorId="0" shapeId="0" xr:uid="{DD697B11-B2CD-466C-B048-F2C952BD4D52}">
      <text>
        <r>
          <rPr>
            <b/>
            <sz val="9"/>
            <color rgb="FF000000"/>
            <rFont val="Tahoma"/>
            <family val="2"/>
          </rPr>
          <t>Adinda Riana:</t>
        </r>
        <r>
          <rPr>
            <sz val="9"/>
            <color rgb="FF000000"/>
            <rFont val="Tahoma"/>
            <family val="2"/>
          </rPr>
          <t xml:space="preserve">
</t>
        </r>
        <r>
          <rPr>
            <sz val="9"/>
            <color rgb="FF000000"/>
            <rFont val="Tahoma"/>
            <family val="2"/>
          </rPr>
          <t>Nomor kontrak Pekerjaan</t>
        </r>
      </text>
    </comment>
    <comment ref="M5" authorId="0" shapeId="0" xr:uid="{433E8157-D961-428D-8CA0-37678028D53A}">
      <text>
        <r>
          <rPr>
            <b/>
            <sz val="9"/>
            <color rgb="FF000000"/>
            <rFont val="Tahoma"/>
            <family val="2"/>
          </rPr>
          <t>Adinda Riana:</t>
        </r>
        <r>
          <rPr>
            <sz val="9"/>
            <color rgb="FF000000"/>
            <rFont val="Tahoma"/>
            <family val="2"/>
          </rPr>
          <t xml:space="preserve">
</t>
        </r>
        <r>
          <rPr>
            <sz val="9"/>
            <color rgb="FF000000"/>
            <rFont val="Tahoma"/>
            <family val="2"/>
          </rPr>
          <t>Periode Weekly</t>
        </r>
      </text>
    </comment>
    <comment ref="P6" authorId="0" shapeId="0" xr:uid="{A4A5DF3F-D2DF-4A60-AD82-CF0CA20F2CE7}">
      <text>
        <r>
          <rPr>
            <b/>
            <sz val="9"/>
            <color indexed="81"/>
            <rFont val="Tahoma"/>
            <family val="2"/>
          </rPr>
          <t>Adinda Riana:</t>
        </r>
        <r>
          <rPr>
            <sz val="9"/>
            <color indexed="81"/>
            <rFont val="Tahoma"/>
            <family val="2"/>
          </rPr>
          <t xml:space="preserve">
Tanggak Submittd dokumen weekly</t>
        </r>
      </text>
    </comment>
    <comment ref="C12" authorId="0" shapeId="0" xr:uid="{98D67FAD-85EA-484E-B82D-3E9F407AAE95}">
      <text>
        <r>
          <rPr>
            <b/>
            <sz val="9"/>
            <color rgb="FF000000"/>
            <rFont val="Tahoma"/>
            <family val="2"/>
          </rPr>
          <t>Adinda Riana:</t>
        </r>
        <r>
          <rPr>
            <sz val="9"/>
            <color rgb="FF000000"/>
            <rFont val="Tahoma"/>
            <family val="2"/>
          </rPr>
          <t xml:space="preserve">
</t>
        </r>
        <r>
          <rPr>
            <sz val="9"/>
            <color rgb="FF000000"/>
            <rFont val="Tahoma"/>
            <family val="2"/>
          </rPr>
          <t>Judul  Sesuai dengan Kontrak apabil tidak ada SPK</t>
        </r>
      </text>
    </comment>
    <comment ref="H30" authorId="0" shapeId="0" xr:uid="{35FF6649-FB58-40DD-B4BF-67F2FAF48F86}">
      <text>
        <r>
          <rPr>
            <b/>
            <sz val="9"/>
            <color rgb="FF000000"/>
            <rFont val="Tahoma"/>
            <family val="2"/>
          </rPr>
          <t>Adinda Riana:</t>
        </r>
        <r>
          <rPr>
            <sz val="9"/>
            <color rgb="FF000000"/>
            <rFont val="Tahoma"/>
            <family val="2"/>
          </rPr>
          <t xml:space="preserve">
</t>
        </r>
        <r>
          <rPr>
            <sz val="9"/>
            <color rgb="FF000000"/>
            <rFont val="Tahoma"/>
            <family val="2"/>
          </rPr>
          <t xml:space="preserve">Nama Kontraktor.
</t>
        </r>
        <r>
          <rPr>
            <sz val="9"/>
            <color rgb="FF000000"/>
            <rFont val="Tahoma"/>
            <family val="2"/>
          </rPr>
          <t>Tanda tangan kontraktor sebelum di submit ke PEP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<sst xmlns="http://schemas.openxmlformats.org/spreadsheetml/2006/main" count="518" uniqueCount="302">
  <si>
    <t>Up Date Every Week</t>
  </si>
  <si>
    <t>OVERALL PROJECT</t>
  </si>
  <si>
    <t xml:space="preserve">CLIENT     </t>
  </si>
  <si>
    <t xml:space="preserve">PROJECT </t>
  </si>
  <si>
    <t>LAST</t>
  </si>
  <si>
    <t>TODATE</t>
  </si>
  <si>
    <t>EACH DELIVERABLE</t>
  </si>
  <si>
    <t>W. U .</t>
  </si>
  <si>
    <t>THIS WK</t>
  </si>
  <si>
    <t>PAYMENT PROGRESS</t>
  </si>
  <si>
    <t>PHYSICAL PROGRESS</t>
  </si>
  <si>
    <t>REVISION</t>
  </si>
  <si>
    <t>Report No.</t>
  </si>
  <si>
    <t>PROJECT</t>
  </si>
  <si>
    <t xml:space="preserve">Cut-off Date  :   </t>
  </si>
  <si>
    <t>WEIGHT FACTOR</t>
  </si>
  <si>
    <t>LAST WEEK</t>
  </si>
  <si>
    <t>THIS WEEK</t>
  </si>
  <si>
    <t xml:space="preserve"> TODATE</t>
  </si>
  <si>
    <t>ACTUAL</t>
  </si>
  <si>
    <t>PLAN</t>
  </si>
  <si>
    <t>Deliverables</t>
  </si>
  <si>
    <t>DESCRIPTION</t>
  </si>
  <si>
    <t xml:space="preserve"> PLANNED</t>
  </si>
  <si>
    <t>Plan</t>
  </si>
  <si>
    <t>Actual</t>
  </si>
  <si>
    <t>-</t>
  </si>
  <si>
    <t>VARIANCE TO PLAN</t>
  </si>
  <si>
    <t>CLIENT</t>
  </si>
  <si>
    <t>:</t>
  </si>
  <si>
    <t>This Week</t>
  </si>
  <si>
    <t>OVERALL</t>
  </si>
  <si>
    <t>Description</t>
  </si>
  <si>
    <t>Remarks</t>
  </si>
  <si>
    <t>Overall</t>
  </si>
  <si>
    <t>WF</t>
  </si>
  <si>
    <t>S - CURVE  - OVERALL</t>
  </si>
  <si>
    <t>WO No.</t>
  </si>
  <si>
    <t xml:space="preserve">Rev. No. :   </t>
  </si>
  <si>
    <t>VAR</t>
  </si>
  <si>
    <t>IFR</t>
  </si>
  <si>
    <t>Revision Status</t>
  </si>
  <si>
    <t>Rev</t>
  </si>
  <si>
    <t>Issue Date</t>
  </si>
  <si>
    <t>Forecast</t>
  </si>
  <si>
    <t>ESTIMATE PLAN CUMULATIVE REV.0</t>
  </si>
  <si>
    <t>ESTIMATE FORECAST CUMULATIVE REV.0</t>
  </si>
  <si>
    <t>FORECAST</t>
  </si>
  <si>
    <t>Project Title :</t>
  </si>
  <si>
    <t>Document Number :</t>
  </si>
  <si>
    <t xml:space="preserve">Document Title: </t>
  </si>
  <si>
    <t>Page ii</t>
  </si>
  <si>
    <t>Table of Content</t>
  </si>
  <si>
    <t>Cover</t>
  </si>
  <si>
    <t>i</t>
  </si>
  <si>
    <t>ii</t>
  </si>
  <si>
    <t>Executive Summary</t>
  </si>
  <si>
    <t>ELECTRICAL &amp; INSTRUMENTATION ENGINEERING (as of 2 October)</t>
  </si>
  <si>
    <t>No</t>
  </si>
  <si>
    <t>Variance</t>
  </si>
  <si>
    <t>Return</t>
  </si>
  <si>
    <r>
      <t>APPROVED</t>
    </r>
    <r>
      <rPr>
        <sz val="10"/>
        <rFont val="Arial"/>
        <family val="2"/>
      </rPr>
      <t xml:space="preserve">       </t>
    </r>
  </si>
  <si>
    <t>Issued for Information</t>
  </si>
  <si>
    <t xml:space="preserve">Week No.  :   </t>
  </si>
  <si>
    <t xml:space="preserve">WO Ttile.   </t>
  </si>
  <si>
    <t>iii</t>
  </si>
  <si>
    <t>Page iii</t>
  </si>
  <si>
    <t>Doc./Dwg Number</t>
  </si>
  <si>
    <t>Deliverable</t>
  </si>
  <si>
    <t>Re-baseline</t>
  </si>
  <si>
    <t>Transmittal</t>
  </si>
  <si>
    <t xml:space="preserve">Weekly Report </t>
  </si>
  <si>
    <t>VARIANCE PLAN</t>
  </si>
  <si>
    <t>VARIANCE Re-baseline</t>
  </si>
  <si>
    <t>NOTE</t>
  </si>
  <si>
    <t xml:space="preserve">Plan </t>
  </si>
  <si>
    <t>Area of Concern / Issues and Mitigation Plan</t>
  </si>
  <si>
    <t>Project Title</t>
  </si>
  <si>
    <t>ACTIVITY</t>
  </si>
  <si>
    <t>Close Out Report</t>
  </si>
  <si>
    <t>Progress Overall</t>
  </si>
  <si>
    <t>Rev A</t>
  </si>
  <si>
    <t>Master Deliverable Register</t>
  </si>
  <si>
    <t>Appendices</t>
  </si>
  <si>
    <t>Appendix A</t>
  </si>
  <si>
    <t>Appendix B</t>
  </si>
  <si>
    <t>Appendix C</t>
  </si>
  <si>
    <t>Project S-Curve</t>
  </si>
  <si>
    <t>PROJECT S-CURVE</t>
  </si>
  <si>
    <t>APPENDIX A</t>
  </si>
  <si>
    <t>APPENDIX B</t>
  </si>
  <si>
    <t>MASTER DELIVERABLE REGISTER (MDR)</t>
  </si>
  <si>
    <t>APPENDIX C</t>
  </si>
  <si>
    <t>1.</t>
  </si>
  <si>
    <t>2.</t>
  </si>
  <si>
    <t>The detailed breakdown of the discipline weekly summary is presented in the following table.</t>
  </si>
  <si>
    <t>Table 1.1 Discipline Weekly Summary</t>
  </si>
  <si>
    <t>The S-Curve can be seen in Appendix-A</t>
  </si>
  <si>
    <t>3.</t>
  </si>
  <si>
    <t>Week</t>
  </si>
  <si>
    <t>Start Date</t>
  </si>
  <si>
    <t>End Date</t>
  </si>
  <si>
    <t>The list submitted document is provided in Appendix C</t>
  </si>
  <si>
    <t>4.</t>
  </si>
  <si>
    <t>ACTUAL CUMMULATIVE</t>
  </si>
  <si>
    <t>ACTUAL THIS WEEK</t>
  </si>
  <si>
    <t>PLAN CUMMULATIVE</t>
  </si>
  <si>
    <t>Date Submission</t>
  </si>
  <si>
    <t>Status Document</t>
  </si>
  <si>
    <t>Inter-Discipline Review</t>
  </si>
  <si>
    <t>Rev 0</t>
  </si>
  <si>
    <t>ENGINEERING DOCUMENTS REGISTER</t>
  </si>
  <si>
    <t>Equipment Sizing Report</t>
  </si>
  <si>
    <t>Process Simulation Report</t>
  </si>
  <si>
    <t>OPF Balongan - Adequacy Check</t>
  </si>
  <si>
    <t>Preliminary Line Sizing</t>
  </si>
  <si>
    <t>Previous Week (Cumulative)</t>
  </si>
  <si>
    <t>Process Flow Diagram (PFD)</t>
  </si>
  <si>
    <t>Heat and Material Balance (HMB)</t>
  </si>
  <si>
    <t>Equipment List for New Equipment</t>
  </si>
  <si>
    <t>FOXTROT-G-PHI-1101</t>
  </si>
  <si>
    <t>FOXTROT-O-RPT-1101</t>
  </si>
  <si>
    <t>FOXTROT-O-RPT-1102</t>
  </si>
  <si>
    <t>FOXTROT-O-RPT-1103</t>
  </si>
  <si>
    <t>FOXTROT-O-RPT-1104</t>
  </si>
  <si>
    <t>FOXTROT-M-LST-1101</t>
  </si>
  <si>
    <t>FOXTROT-FXEA-P-PFD-6101</t>
  </si>
  <si>
    <t>FOXTROT-FXEA-P-HMB-6101</t>
  </si>
  <si>
    <t>FOXTROT-FXEA-M-EQL-5101</t>
  </si>
  <si>
    <t>TRM DWE-PHE ONWJ-350/002</t>
  </si>
  <si>
    <t>Conceptual Design Basis &amp; Design Philosophy</t>
  </si>
  <si>
    <t>TRM DWE-PHE ONWJ-350/001</t>
  </si>
  <si>
    <t>TRM DWE-PHE ONWJ-350/003</t>
  </si>
  <si>
    <t>FOXTROT-FXEA-P-PFD-6101~A-1 to 2 (Option 1~4)</t>
  </si>
  <si>
    <t>FOXTROT-FK-P-PFD-6001~82A (Option 1~4)</t>
  </si>
  <si>
    <t>FOXTROT-FK-P-PFD-6001D~82A (Demolition) (Option 1~4)</t>
  </si>
  <si>
    <t>HMB FXEA (Option 1~4)</t>
  </si>
  <si>
    <t>HMB FK (Option 1~4)</t>
  </si>
  <si>
    <t>TRM DWE-PHE ONWJ-350/004</t>
  </si>
  <si>
    <t>TRM DWE-PHE ONWJ-350/005</t>
  </si>
  <si>
    <t>Adequacy Check FXEA Flatform</t>
  </si>
  <si>
    <t>TRM DWE-PHE ONWJ-350/006</t>
  </si>
  <si>
    <t>TRM DWE-PHE ONWJ-350/007</t>
  </si>
  <si>
    <t>EQL for new platform (4 Option)</t>
  </si>
  <si>
    <t xml:space="preserve">Document Issued in This Week </t>
  </si>
  <si>
    <t xml:space="preserve">IFR (Issued for Review)         </t>
  </si>
  <si>
    <t>To Date (Cumulative)</t>
  </si>
  <si>
    <t>Recovery</t>
  </si>
  <si>
    <t>VARIANCE TO Recovery</t>
  </si>
  <si>
    <t>Variance to Recovery</t>
  </si>
  <si>
    <t xml:space="preserve">WO Title </t>
  </si>
  <si>
    <t>Doc Impact</t>
  </si>
  <si>
    <t>PT Pertamina EP</t>
  </si>
  <si>
    <t>PLAN THIS WEEK</t>
  </si>
  <si>
    <t xml:space="preserve">IFD
(Issued for Design)           </t>
  </si>
  <si>
    <t>PERTAMINA EP</t>
  </si>
  <si>
    <r>
      <t xml:space="preserve">IFR (Issued for Review)             </t>
    </r>
    <r>
      <rPr>
        <sz val="10"/>
        <rFont val="Arial"/>
        <family val="2"/>
      </rPr>
      <t xml:space="preserve">                 </t>
    </r>
  </si>
  <si>
    <t>ACTUAL CUMULATIVE REV.0</t>
  </si>
  <si>
    <t>Document Issued in This Week 01</t>
  </si>
  <si>
    <t>Document Submitted in Week 01</t>
  </si>
  <si>
    <t>DOCUMENT REPORT</t>
  </si>
  <si>
    <t>Document No.</t>
  </si>
  <si>
    <t>SPK/ CTR Title</t>
  </si>
  <si>
    <r>
      <rPr>
        <b/>
        <sz val="12"/>
        <rFont val="Arial"/>
        <family val="2"/>
      </rPr>
      <t>Author's Organization</t>
    </r>
    <r>
      <rPr>
        <sz val="12"/>
        <rFont val="Arial"/>
        <family val="2"/>
      </rPr>
      <t xml:space="preserve">
Project</t>
    </r>
  </si>
  <si>
    <t xml:space="preserve">Period </t>
  </si>
  <si>
    <t>Revision No.</t>
  </si>
  <si>
    <t>0</t>
  </si>
  <si>
    <t>Date</t>
  </si>
  <si>
    <t>Approval Sheet</t>
  </si>
  <si>
    <t>Name</t>
  </si>
  <si>
    <t>Tittle</t>
  </si>
  <si>
    <t>Signature</t>
  </si>
  <si>
    <t>Manager Project PEP Zona 13</t>
  </si>
  <si>
    <t xml:space="preserve">Nyoman Ading Widiartama </t>
  </si>
  <si>
    <t>Sr. Engineer Project Contract Management PEP Zona 13</t>
  </si>
  <si>
    <t>Issue Porpose</t>
  </si>
  <si>
    <t>Prepared</t>
  </si>
  <si>
    <t>Checked</t>
  </si>
  <si>
    <t>Approved</t>
  </si>
  <si>
    <t>Wahyudi</t>
  </si>
  <si>
    <t>Bambang Saefu</t>
  </si>
  <si>
    <t>WEEKLY REPORT</t>
  </si>
  <si>
    <t>Abdurahmman Hadiwijaya</t>
  </si>
  <si>
    <t>Seno Widjojo</t>
  </si>
  <si>
    <t>Sr Engineer Project &amp; Safety</t>
  </si>
  <si>
    <t>Andik Yuli Wahyono</t>
  </si>
  <si>
    <t>Sr Engineer Construction</t>
  </si>
  <si>
    <t>Erikson Juanda Panjaitan</t>
  </si>
  <si>
    <t>Sr Engineer Project Economics &amp; Risk</t>
  </si>
  <si>
    <t>Sr Project Budget &amp; Cost Control PEP Zona 13</t>
  </si>
  <si>
    <t>Sr  Engineering Project Planning &amp; Schedulling</t>
  </si>
  <si>
    <t>Integrated Management Dashboard Production &amp; Project Zona 13</t>
  </si>
  <si>
    <r>
      <rPr>
        <b/>
        <sz val="12"/>
        <rFont val="Arial"/>
        <family val="2"/>
      </rPr>
      <t>Project Title</t>
    </r>
    <r>
      <rPr>
        <sz val="12"/>
        <rFont val="Arial"/>
        <family val="2"/>
      </rPr>
      <t xml:space="preserve">
Integrated Management Dashboard Production &amp; Project Zona 13</t>
    </r>
  </si>
  <si>
    <r>
      <rPr>
        <b/>
        <sz val="12"/>
        <rFont val="Arial"/>
        <family val="2"/>
      </rPr>
      <t>Contract Number</t>
    </r>
    <r>
      <rPr>
        <sz val="12"/>
        <rFont val="Arial"/>
        <family val="2"/>
      </rPr>
      <t xml:space="preserve">
901407233</t>
    </r>
  </si>
  <si>
    <t>Analisis Kebutuhan</t>
  </si>
  <si>
    <t xml:space="preserve">Dokumentasi BRD   </t>
  </si>
  <si>
    <t>Dokumentasi Awal Hasil Wawancara</t>
  </si>
  <si>
    <t>1.a</t>
  </si>
  <si>
    <t>1.b</t>
  </si>
  <si>
    <t>Pengadaan</t>
  </si>
  <si>
    <t>Pengadaan Hardware</t>
  </si>
  <si>
    <t>2.a</t>
  </si>
  <si>
    <t>Desain UI/UX</t>
  </si>
  <si>
    <t>Interactive Prototype &amp; User Testing</t>
  </si>
  <si>
    <t>User Flow &amp; Wireframe (Low-Fidelity)</t>
  </si>
  <si>
    <t>Design System &amp; High-Fidelity Mockup</t>
  </si>
  <si>
    <t>3.a</t>
  </si>
  <si>
    <t>3.b</t>
  </si>
  <si>
    <t>3.c</t>
  </si>
  <si>
    <t>Integrasi Sumber Data;  Konfigurasi database dengan sumber data; Data Connection Schema &amp; Production Data Mapping</t>
  </si>
  <si>
    <t>Integrasi Sumber Data</t>
  </si>
  <si>
    <t>Konfigurasi database dengan sumber data</t>
  </si>
  <si>
    <t>Data Connection Schema &amp; Production Data Mapping</t>
  </si>
  <si>
    <t>Persiapan Data (ETL)</t>
  </si>
  <si>
    <t>Data Mapping</t>
  </si>
  <si>
    <t>Database yang sudah bersih, terstruktur, dan siap digunakan untuk visualisasi</t>
  </si>
  <si>
    <t>Pengembangan Dashboard</t>
  </si>
  <si>
    <t>Penyusunan sitemap dashboard, definisi hak akses menu (Role Based Access Control), dan struktur navigasi</t>
  </si>
  <si>
    <t>Pengembangan Home Page</t>
  </si>
  <si>
    <t>Pengembangan Modul &amp; Komponen Visual</t>
  </si>
  <si>
    <t>Integrasi Data &amp; Finalisasi Interaktivitas</t>
  </si>
  <si>
    <t>4.a</t>
  </si>
  <si>
    <t>4.b</t>
  </si>
  <si>
    <t>4.c</t>
  </si>
  <si>
    <t>5.a</t>
  </si>
  <si>
    <t>5.b</t>
  </si>
  <si>
    <t>6.a</t>
  </si>
  <si>
    <t>6.b</t>
  </si>
  <si>
    <t>6.c</t>
  </si>
  <si>
    <t>6.d</t>
  </si>
  <si>
    <t>Activity</t>
  </si>
  <si>
    <t>Doc Name</t>
  </si>
  <si>
    <t>W2026I-DNGF-EM-100-PRG-WLY</t>
  </si>
  <si>
    <t>Doc No</t>
  </si>
  <si>
    <t>Doc-Concate</t>
  </si>
  <si>
    <t>Doc-togle</t>
  </si>
  <si>
    <t>0000</t>
  </si>
  <si>
    <t>Start Period</t>
  </si>
  <si>
    <t>End Period</t>
  </si>
  <si>
    <t>Period-Concate</t>
  </si>
  <si>
    <t>ITS PTN BH</t>
  </si>
  <si>
    <t>Progress Plan</t>
  </si>
  <si>
    <t>Actual Plan</t>
  </si>
  <si>
    <t>Exe sum</t>
  </si>
  <si>
    <t>Project Name</t>
  </si>
  <si>
    <t>MDR</t>
  </si>
  <si>
    <t>Doc</t>
  </si>
  <si>
    <t>Weekly Report</t>
  </si>
  <si>
    <t>W2026I-DNGF-EM-100-PRD-SPC-0001</t>
  </si>
  <si>
    <t>W2026I-DNGF-EM-100-PRD-SPC-0002</t>
  </si>
  <si>
    <t>W2026I-DNGF-EM-100-PRD-SPC-0003</t>
  </si>
  <si>
    <t>W2026I-DNGF-EM-100-PRD-SPC-0004</t>
  </si>
  <si>
    <t>W2026I-DNGF-EM-100-PRD-SPC-0005</t>
  </si>
  <si>
    <t>AR</t>
  </si>
  <si>
    <t>BS</t>
  </si>
  <si>
    <t>ES</t>
  </si>
  <si>
    <t>*</t>
  </si>
  <si>
    <t>PRD</t>
  </si>
  <si>
    <t>Procedure</t>
  </si>
  <si>
    <t>SPC</t>
  </si>
  <si>
    <t>Specification</t>
  </si>
  <si>
    <t>DRW</t>
  </si>
  <si>
    <t>Drawing</t>
  </si>
  <si>
    <t>RPT</t>
  </si>
  <si>
    <t>Reports</t>
  </si>
  <si>
    <t>BOQ</t>
  </si>
  <si>
    <t>Bill of Quantity</t>
  </si>
  <si>
    <t>DSH</t>
  </si>
  <si>
    <t>Data Sheet</t>
  </si>
  <si>
    <t>Calculation</t>
  </si>
  <si>
    <t>CALC</t>
  </si>
  <si>
    <t>VDOC</t>
  </si>
  <si>
    <t>Vendor Document</t>
  </si>
  <si>
    <t>APPENDIX D</t>
  </si>
  <si>
    <t>DATE</t>
  </si>
  <si>
    <t>DOCUMENTATION</t>
  </si>
  <si>
    <t>Appendix D</t>
  </si>
  <si>
    <t>Activity Documentation</t>
  </si>
  <si>
    <t>W2026I-DNGF-EM-100-PRD-SPC-0006</t>
  </si>
  <si>
    <t>W2026I-DNGF-EM-100-PRD-SPC-0007</t>
  </si>
  <si>
    <t>W2026I-DNGF-EM-100-PRD-SPC-0008</t>
  </si>
  <si>
    <t>W2026I-DNGF-EM-100-PRD-SPC-0009</t>
  </si>
  <si>
    <t>W2026I-DNGF-EM-100-PRD-SPC-0010</t>
  </si>
  <si>
    <t>W2026I-DNGF-EM-100-PRD-SPC-0011</t>
  </si>
  <si>
    <t>W2026I-DNGF-EM-100-PRD-SPC-0012</t>
  </si>
  <si>
    <t>W2026I-DNGF-EM-100-PRD-SPC-0013</t>
  </si>
  <si>
    <t>W2026I-DNGF-EM-100-PRD-SPC-0014</t>
  </si>
  <si>
    <t>Aktual</t>
  </si>
  <si>
    <t>1. Pertamina dapat mulai melakukan review terhadap dashboard yang telah dikembangkan oleh ITS
2. Dokumen 6d sedang dalam review oleh Pak Seno.
3. Data AIRMS dan I2AIMS yang digunakan di modul OSF adalah data dummy. Jika terdapat data yang baru disampaikan, dapat di lakukan pada fase berikutnya (Post Implementation).
4. Untuk modul Project, saat ini masih ada contoh NBD (Project dengan ITS), untuk contoh Project BD belum ada.</t>
  </si>
  <si>
    <t>Tim ITS telah menyelesaikan 8 menu dashboard sebagaimana pada gambar dibawah mencapai total keseluruhan ketercapaian menu dashboard 88.89%. Untuk 1 menu OSF – AIRMS sedang dalam proses.</t>
  </si>
  <si>
    <t>ITS-PEP-IMDZ13-TR-2026-0011</t>
  </si>
  <si>
    <t>W2026I-DNGF-EM-100-PRG-WLY-0011</t>
  </si>
  <si>
    <t>DOCUMENT SUBMITTED IN WEEK 11</t>
  </si>
  <si>
    <t>ACTIVITY DOCUMENTATION WEEK 11</t>
  </si>
  <si>
    <t>Exe Sum</t>
  </si>
  <si>
    <t>S-Curve</t>
  </si>
  <si>
    <t>Previous (Cummulative)</t>
  </si>
  <si>
    <t>To Date (Cummulative)</t>
  </si>
  <si>
    <t>Previous</t>
  </si>
  <si>
    <t>To Date</t>
  </si>
  <si>
    <t>Menunggu Keputsan dari Pertamina terkait dengan pengadaan Hardware</t>
  </si>
  <si>
    <t>Menunggu Keputsan dari Pertamina untuk kelanjutannya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</si>
</sst>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6">
    <numFmt numFmtId="8" formatCode="&quot;Rp&quot;#,##0.00;[Red]\-&quot;Rp&quot;#,##0.0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 #,##0_);_(* \(#,##0\);_(* &quot;-&quot;_);_(@_)"/>
    <numFmt numFmtId="165" formatCode="_(&quot;$&quot;* #,##0.00_);_(&quot;$&quot;* \(#,##0.00\);_(&quot;$&quot;* &quot;-&quot;??_);_(@_)"/>
    <numFmt numFmtId="166" formatCode="_(* #,##0.00_);_(* \(#,##0.00\);_(* &quot;-&quot;??_);_(@_)"/>
    <numFmt numFmtId="167" formatCode="&quot;£&quot;#,##0;[Red]\-&quot;£&quot;#,##0"/>
    <numFmt numFmtId="168" formatCode="_-&quot;£&quot;* #,##0.00_-;\-&quot;£&quot;* #,##0.00_-;_-&quot;£&quot;* &quot;-&quot;??_-;_-@_-"/>
    <numFmt numFmtId="169" formatCode="&quot;Rp&quot;#,##0.00_);[Red]\(&quot;Rp&quot;#,##0.00\)"/>
    <numFmt numFmtId="170" formatCode="_(* #,##0_);_(* \(#,##0\);_(* &quot;-&quot;??_);_(@_)"/>
    <numFmt numFmtId="171" formatCode="dd/mm"/>
    <numFmt numFmtId="172" formatCode="0.000000"/>
    <numFmt numFmtId="173" formatCode="0.0000000"/>
    <numFmt numFmtId="174" formatCode="m/d;@"/>
    <numFmt numFmtId="175" formatCode="[$-409]d\-mmm\-yy;@"/>
    <numFmt numFmtId="176" formatCode="00"/>
    <numFmt numFmtId="177" formatCode="[$-409]dd\-mmm\-yy;@"/>
    <numFmt numFmtId="178" formatCode="_-* #,##0.00\ &quot;F&quot;_-;\-* #,##0.00\ &quot;F&quot;_-;_-* &quot;-&quot;??\ &quot;F&quot;_-;_-@_-"/>
    <numFmt numFmtId="179" formatCode="&quot;$&quot;_##,##0_);[Red]\(&quot;$&quot;_#\,##0\)"/>
    <numFmt numFmtId="180" formatCode="0.0%;\ \(0.0%\)"/>
    <numFmt numFmtId="181" formatCode="&quot;               &quot;@"/>
    <numFmt numFmtId="182" formatCode="&quot;                    &quot;@"/>
    <numFmt numFmtId="183" formatCode="&quot;                  &quot;@"/>
    <numFmt numFmtId="184" formatCode="#,##0,_);[Red]\(#,##0,\)"/>
    <numFmt numFmtId="185" formatCode="&quot;$&quot;#,##0,_);[Red]\(&quot;$&quot;#,##0,\);&quot;&quot;"/>
    <numFmt numFmtId="186" formatCode="[Blue]#,##0"/>
    <numFmt numFmtId="187" formatCode="0_)"/>
    <numFmt numFmtId="188" formatCode="#,##0;\(#,##0\)"/>
    <numFmt numFmtId="189" formatCode="&quot;$&quot;#,##0.00;[Red]\-&quot;$&quot;#,##0.00"/>
    <numFmt numFmtId="190" formatCode="_-&quot;$&quot;* #,##0_-;\-&quot;$&quot;* #,##0_-;_-&quot;$&quot;* &quot;-&quot;_-;_-@_-"/>
    <numFmt numFmtId="191" formatCode="&quot;$&quot;_#\,##0_);[Red]\(&quot;$&quot;_#\,##0\)"/>
    <numFmt numFmtId="192" formatCode="000000"/>
    <numFmt numFmtId="193" formatCode="\$#,##0.00;\(\$#,##0.00\)"/>
    <numFmt numFmtId="194" formatCode="General_)"/>
    <numFmt numFmtId="195" formatCode="\$#,##0;\(\$#,##0\)"/>
    <numFmt numFmtId="196" formatCode="#."/>
    <numFmt numFmtId="197" formatCode="#,##0.0000_);[Red]\(#,##0.0000\)"/>
    <numFmt numFmtId="198" formatCode="0%;\(0%\)"/>
    <numFmt numFmtId="199" formatCode="&quot;$&quot;#,##0,;[Red]\(&quot;$&quot;#,##0,\);&quot;&quot;"/>
    <numFmt numFmtId="200" formatCode="&quot;$&quot;#,##0,_);[Red]\(&quot;$&quot;#,##0,\)"/>
    <numFmt numFmtId="201" formatCode="&quot;\&quot;#,##0.00;[Red]&quot;\&quot;&quot;\&quot;\-#,##0.00"/>
    <numFmt numFmtId="202" formatCode="&quot;\&quot;#,##0;[Red]&quot;\&quot;&quot;\&quot;\-#,##0"/>
    <numFmt numFmtId="203" formatCode="d\-mmm\-yyyy"/>
    <numFmt numFmtId="204" formatCode="mmmm\ yyyy"/>
    <numFmt numFmtId="205" formatCode="_([$€]* #,##0.00_);_([$€]* \(#,##0.00\);_([$€]* &quot;-&quot;??_);_(@_)"/>
    <numFmt numFmtId="206" formatCode="0.00000000000"/>
    <numFmt numFmtId="207" formatCode="_(* #,##0.0000_);_(* \(#,##0.0000\);_(* &quot;-&quot;??_);_(@_)"/>
    <numFmt numFmtId="208" formatCode="&quot;Rp&quot;_##,##0_);[Red]\(&quot;Rp&quot;_#\,##0\)"/>
    <numFmt numFmtId="209" formatCode="&quot;Rp&quot;#,##0,_);[Red]\(&quot;Rp&quot;#,##0,\);&quot;&quot;"/>
    <numFmt numFmtId="210" formatCode="0.000_)"/>
    <numFmt numFmtId="211" formatCode="&quot;Rp&quot;_#\,##0_);[Red]\(&quot;Rp&quot;_#\,##0\)"/>
    <numFmt numFmtId="212" formatCode="&quot;Rp&quot;#,##0\ ;\(&quot;Rp&quot;#,##0\)"/>
    <numFmt numFmtId="213" formatCode="0.00_)"/>
    <numFmt numFmtId="214" formatCode="&quot;Rp&quot;#,##0,;[Red]\(&quot;Rp&quot;#,##0,\);&quot;&quot;"/>
    <numFmt numFmtId="215" formatCode="&quot;Rp&quot;#,##0,_);[Red]\(&quot;Rp&quot;#,##0,\)"/>
    <numFmt numFmtId="216" formatCode="0.000%"/>
    <numFmt numFmtId="217" formatCode="[$-13809]dddd\,\ dd\ mmmm\ yyyy;@"/>
    <numFmt numFmtId="218" formatCode="[$-13809]d\ mmm\ yyyy;@"/>
    <numFmt numFmtId="219" formatCode="[$-409]mmmm\-yy;@"/>
    <numFmt numFmtId="220" formatCode="[$-F800]dddd\,\ mmmm\ dd\,\ yyyy"/>
    <numFmt numFmtId="221" formatCode="0.0%"/>
    <numFmt numFmtId="222" formatCode="[$-421]dd\ mmmm\ yyyy;@"/>
    <numFmt numFmtId="223" formatCode="0.0000%"/>
    <numFmt numFmtId="224" formatCode="0.00000%"/>
  </numFmts>
  <fonts count="200">
    <font>
      <sz val="10"/>
      <name val="Arial"/>
    </font>
    <font>
      <sz val="11"/>
      <color theme="1"/>
      <name val="Calibri"/>
      <family val="2"/>
      <scheme val="minor"/>
    </font>
    <font>
      <sz val="11"/>
      <color indexed="8"/>
      <name val="Calibri"/>
      <family val="2"/>
    </font>
    <font>
      <sz val="10"/>
      <name val="Arial"/>
      <family val="2"/>
    </font>
    <font>
      <b/>
      <sz val="14"/>
      <name val="Arial"/>
      <family val="2"/>
    </font>
    <font>
      <b/>
      <sz val="18"/>
      <name val="Arial"/>
      <family val="2"/>
    </font>
    <font>
      <sz val="10"/>
      <color indexed="8"/>
      <name val="Arial"/>
      <family val="2"/>
    </font>
    <font>
      <b/>
      <sz val="10"/>
      <name val="Arial"/>
      <family val="2"/>
    </font>
    <font>
      <b/>
      <sz val="20"/>
      <name val="Arial"/>
      <family val="2"/>
    </font>
    <font>
      <b/>
      <sz val="12"/>
      <name val="Arial"/>
      <family val="2"/>
    </font>
    <font>
      <sz val="12"/>
      <name val="Arial"/>
      <family val="2"/>
    </font>
    <font>
      <b/>
      <sz val="11"/>
      <name val="Arial"/>
      <family val="2"/>
    </font>
    <font>
      <b/>
      <sz val="16"/>
      <name val="Arial"/>
      <family val="2"/>
    </font>
    <font>
      <b/>
      <sz val="25"/>
      <name val="Arial"/>
      <family val="2"/>
    </font>
    <font>
      <sz val="14"/>
      <name val="Arial"/>
      <family val="2"/>
    </font>
    <font>
      <sz val="11"/>
      <name val="Arial"/>
      <family val="2"/>
    </font>
    <font>
      <sz val="10"/>
      <name val="Rockwell"/>
      <family val="1"/>
    </font>
    <font>
      <sz val="8"/>
      <name val="Tahoma"/>
      <family val="2"/>
    </font>
    <font>
      <sz val="8"/>
      <name val="Verdana"/>
      <family val="2"/>
    </font>
    <font>
      <b/>
      <sz val="8"/>
      <color indexed="9"/>
      <name val="Tahoma"/>
      <family val="2"/>
    </font>
    <font>
      <b/>
      <sz val="8"/>
      <color indexed="8"/>
      <name val="Tahoma"/>
      <family val="2"/>
    </font>
    <font>
      <b/>
      <u/>
      <sz val="8"/>
      <color indexed="8"/>
      <name val="Tahoma"/>
      <family val="2"/>
    </font>
    <font>
      <b/>
      <sz val="8"/>
      <color indexed="23"/>
      <name val="Verdana"/>
      <family val="2"/>
    </font>
    <font>
      <sz val="11"/>
      <color indexed="8"/>
      <name val="Calibri"/>
      <family val="2"/>
    </font>
    <font>
      <sz val="16"/>
      <color indexed="9"/>
      <name val="Tahoma"/>
      <family val="2"/>
    </font>
    <font>
      <sz val="8"/>
      <name val="Arial"/>
      <family val="2"/>
    </font>
    <font>
      <b/>
      <sz val="8"/>
      <color indexed="63"/>
      <name val="Verdana"/>
      <family val="2"/>
    </font>
    <font>
      <sz val="9"/>
      <name val="Arial"/>
      <family val="2"/>
    </font>
    <font>
      <b/>
      <sz val="9"/>
      <name val="Arial"/>
      <family val="2"/>
    </font>
    <font>
      <b/>
      <u/>
      <sz val="18"/>
      <color indexed="9"/>
      <name val="Tahoma"/>
      <family val="2"/>
    </font>
    <font>
      <sz val="8"/>
      <name val="Times New Roman"/>
      <family val="1"/>
    </font>
    <font>
      <sz val="9"/>
      <name val="¹ÙÅÁÃ¼"/>
      <family val="1"/>
      <charset val="129"/>
    </font>
    <font>
      <sz val="12"/>
      <name val="Tms Rmn"/>
    </font>
    <font>
      <sz val="12"/>
      <name val="¹ÙÅÁÃ¼"/>
      <charset val="129"/>
    </font>
    <font>
      <sz val="14"/>
      <name val="Cordia New"/>
      <family val="2"/>
    </font>
    <font>
      <sz val="10"/>
      <name val="Times New Roman"/>
      <family val="1"/>
    </font>
    <font>
      <sz val="10"/>
      <color indexed="22"/>
      <name val="MS Sans Serif"/>
      <family val="2"/>
    </font>
    <font>
      <sz val="10"/>
      <name val="Helv"/>
    </font>
    <font>
      <sz val="10"/>
      <color indexed="24"/>
      <name val="Arial"/>
      <family val="2"/>
    </font>
    <font>
      <sz val="10"/>
      <name val="MS Serif"/>
      <family val="1"/>
    </font>
    <font>
      <b/>
      <sz val="10"/>
      <name val="Times New Roman"/>
      <family val="1"/>
    </font>
    <font>
      <sz val="11"/>
      <color indexed="8"/>
      <name val="Calibri"/>
      <family val="2"/>
      <charset val="1"/>
    </font>
    <font>
      <b/>
      <i/>
      <sz val="9"/>
      <name val="Times New Roman"/>
      <family val="1"/>
    </font>
    <font>
      <b/>
      <sz val="8"/>
      <name val="Arial"/>
      <family val="2"/>
    </font>
    <font>
      <sz val="10"/>
      <color indexed="16"/>
      <name val="MS Serif"/>
      <family val="1"/>
    </font>
    <font>
      <u/>
      <sz val="1"/>
      <color indexed="21"/>
      <name val="Courier"/>
      <family val="3"/>
    </font>
    <font>
      <sz val="1"/>
      <color indexed="16"/>
      <name val="Courier"/>
      <family val="3"/>
    </font>
    <font>
      <i/>
      <sz val="1"/>
      <color indexed="16"/>
      <name val="Courier"/>
      <family val="3"/>
    </font>
    <font>
      <b/>
      <sz val="12"/>
      <color indexed="9"/>
      <name val="Tms Rmn"/>
    </font>
    <font>
      <b/>
      <sz val="8"/>
      <name val="MS Sans Serif"/>
      <family val="2"/>
    </font>
    <font>
      <sz val="9"/>
      <name val="Univers"/>
      <family val="2"/>
    </font>
    <font>
      <sz val="10"/>
      <name val="MS Sans Serif"/>
      <family val="2"/>
    </font>
    <font>
      <sz val="12"/>
      <name val="Helv"/>
    </font>
    <font>
      <sz val="10"/>
      <name val="Tahoma"/>
      <family val="2"/>
    </font>
    <font>
      <sz val="8"/>
      <name val="Arial MT"/>
    </font>
    <font>
      <sz val="9"/>
      <name val="Arial Narrow"/>
      <family val="2"/>
    </font>
    <font>
      <sz val="8"/>
      <name val="Wingdings"/>
      <charset val="2"/>
    </font>
    <font>
      <sz val="8"/>
      <name val="Helv"/>
    </font>
    <font>
      <b/>
      <i/>
      <sz val="8"/>
      <name val="Arial"/>
      <family val="2"/>
    </font>
    <font>
      <sz val="8"/>
      <name val="MS Sans Serif"/>
      <family val="2"/>
    </font>
    <font>
      <sz val="10"/>
      <name val="Arial Condensed Bold"/>
      <family val="2"/>
    </font>
    <font>
      <b/>
      <sz val="8"/>
      <color indexed="8"/>
      <name val="Helv"/>
    </font>
    <font>
      <sz val="9"/>
      <name val="Times New Roman"/>
      <family val="1"/>
    </font>
    <font>
      <sz val="11"/>
      <name val="明朝"/>
      <family val="1"/>
      <charset val="128"/>
    </font>
    <font>
      <sz val="13"/>
      <name val="Calibri"/>
      <family val="2"/>
    </font>
    <font>
      <b/>
      <sz val="20"/>
      <name val="Calibri"/>
      <family val="2"/>
    </font>
    <font>
      <b/>
      <sz val="12"/>
      <name val="Calibri"/>
      <family val="2"/>
    </font>
    <font>
      <sz val="12"/>
      <name val="Calibri"/>
      <family val="2"/>
    </font>
    <font>
      <b/>
      <sz val="13"/>
      <name val="Calibri"/>
      <family val="2"/>
    </font>
    <font>
      <sz val="10"/>
      <name val="Calibri"/>
      <family val="2"/>
    </font>
    <font>
      <b/>
      <sz val="18"/>
      <name val="Calibri"/>
      <family val="2"/>
    </font>
    <font>
      <b/>
      <u/>
      <sz val="16"/>
      <name val="Calibri"/>
      <family val="2"/>
    </font>
    <font>
      <sz val="16"/>
      <name val="Calibri"/>
      <family val="2"/>
    </font>
    <font>
      <sz val="14"/>
      <name val="Calibri"/>
      <family val="2"/>
    </font>
    <font>
      <b/>
      <sz val="16"/>
      <name val="Calibri"/>
      <family val="2"/>
    </font>
    <font>
      <b/>
      <sz val="14"/>
      <name val="Calibri"/>
      <family val="2"/>
    </font>
    <font>
      <sz val="18"/>
      <name val="Calibri"/>
      <family val="2"/>
    </font>
    <font>
      <b/>
      <u/>
      <sz val="20"/>
      <name val="Calibri"/>
      <family val="2"/>
    </font>
    <font>
      <sz val="20"/>
      <name val="Calibri"/>
      <family val="2"/>
    </font>
    <font>
      <b/>
      <sz val="40"/>
      <name val="Calibri"/>
      <family val="2"/>
    </font>
    <font>
      <b/>
      <sz val="22"/>
      <name val="Calibri"/>
      <family val="2"/>
    </font>
    <font>
      <sz val="11"/>
      <name val="Calibri"/>
      <family val="2"/>
    </font>
    <font>
      <b/>
      <sz val="9"/>
      <name val="Calibri"/>
      <family val="2"/>
    </font>
    <font>
      <b/>
      <u/>
      <sz val="24"/>
      <name val="Calibri"/>
      <family val="2"/>
    </font>
    <font>
      <sz val="40"/>
      <name val="Calibri"/>
      <family val="2"/>
    </font>
    <font>
      <b/>
      <sz val="24"/>
      <name val="Arial"/>
      <family val="2"/>
    </font>
    <font>
      <sz val="14"/>
      <name val="‚l‚r –¾’©"/>
      <charset val="128"/>
    </font>
    <font>
      <sz val="12"/>
      <name val="Osaka"/>
      <charset val="128"/>
    </font>
    <font>
      <b/>
      <sz val="12"/>
      <name val="Times New Roman"/>
      <family val="1"/>
    </font>
    <font>
      <i/>
      <sz val="10"/>
      <name val="Arial"/>
      <family val="2"/>
    </font>
    <font>
      <i/>
      <sz val="12"/>
      <name val="Arial"/>
      <family val="2"/>
    </font>
    <font>
      <b/>
      <i/>
      <sz val="20"/>
      <name val="Arial"/>
      <family val="2"/>
    </font>
    <font>
      <sz val="11"/>
      <name val="‚l‚r ‚oƒSƒVƒbƒN"/>
      <charset val="128"/>
    </font>
    <font>
      <sz val="11"/>
      <color indexed="8"/>
      <name val="Calibri"/>
      <family val="2"/>
    </font>
    <font>
      <sz val="10"/>
      <color indexed="8"/>
      <name val="Arial"/>
      <family val="2"/>
    </font>
    <font>
      <b/>
      <sz val="11"/>
      <color indexed="10"/>
      <name val="Arial"/>
      <family val="2"/>
    </font>
    <font>
      <b/>
      <sz val="10"/>
      <color indexed="10"/>
      <name val="Arial"/>
      <family val="2"/>
    </font>
    <font>
      <sz val="14"/>
      <color indexed="10"/>
      <name val="Calibri"/>
      <family val="2"/>
    </font>
    <font>
      <sz val="16"/>
      <color indexed="10"/>
      <name val="Calibri"/>
      <family val="2"/>
    </font>
    <font>
      <sz val="13"/>
      <color indexed="10"/>
      <name val="Calibri"/>
      <family val="2"/>
    </font>
    <font>
      <sz val="18"/>
      <color indexed="10"/>
      <name val="Calibri"/>
      <family val="2"/>
    </font>
    <font>
      <b/>
      <sz val="14"/>
      <color indexed="10"/>
      <name val="Calibri"/>
      <family val="2"/>
    </font>
    <font>
      <b/>
      <sz val="20"/>
      <color indexed="10"/>
      <name val="Calibri"/>
      <family val="2"/>
    </font>
    <font>
      <sz val="20"/>
      <color indexed="10"/>
      <name val="Calibri"/>
      <family val="2"/>
    </font>
    <font>
      <sz val="10"/>
      <color indexed="23"/>
      <name val="Arial"/>
      <family val="2"/>
    </font>
    <font>
      <sz val="10"/>
      <color indexed="8"/>
      <name val="Arial"/>
      <family val="2"/>
    </font>
    <font>
      <sz val="10"/>
      <color indexed="14"/>
      <name val="Arial"/>
      <family val="2"/>
    </font>
    <font>
      <sz val="10"/>
      <color indexed="53"/>
      <name val="Arial"/>
      <family val="2"/>
    </font>
    <font>
      <b/>
      <sz val="10"/>
      <color indexed="8"/>
      <name val="Arial"/>
      <family val="2"/>
    </font>
    <font>
      <b/>
      <sz val="10"/>
      <color indexed="12"/>
      <name val="Arial"/>
      <family val="2"/>
    </font>
    <font>
      <b/>
      <sz val="10"/>
      <color indexed="9"/>
      <name val="Arial"/>
      <family val="2"/>
    </font>
    <font>
      <b/>
      <sz val="12"/>
      <color indexed="10"/>
      <name val="Arial"/>
      <family val="2"/>
    </font>
    <font>
      <b/>
      <sz val="10"/>
      <color indexed="48"/>
      <name val="Arial"/>
      <family val="2"/>
    </font>
    <font>
      <sz val="10"/>
      <color indexed="9"/>
      <name val="Arial"/>
      <family val="2"/>
    </font>
    <font>
      <sz val="11"/>
      <color indexed="12"/>
      <name val="Arial"/>
      <family val="2"/>
    </font>
    <font>
      <sz val="12"/>
      <color indexed="10"/>
      <name val="Calibri"/>
      <family val="2"/>
    </font>
    <font>
      <sz val="16"/>
      <name val="Arial"/>
      <family val="2"/>
    </font>
    <font>
      <sz val="12"/>
      <name val="Calibri"/>
      <family val="2"/>
    </font>
    <font>
      <sz val="12"/>
      <color indexed="10"/>
      <name val="Calibri"/>
      <family val="2"/>
    </font>
    <font>
      <sz val="12"/>
      <color indexed="8"/>
      <name val="Calibri"/>
      <family val="2"/>
    </font>
    <font>
      <sz val="10"/>
      <name val="Arial"/>
      <family val="2"/>
    </font>
    <font>
      <sz val="10"/>
      <name val="Arial"/>
      <family val="2"/>
    </font>
    <font>
      <b/>
      <sz val="11"/>
      <color indexed="8"/>
      <name val="Arial"/>
      <family val="2"/>
    </font>
    <font>
      <sz val="20"/>
      <name val="Arial"/>
      <family val="2"/>
    </font>
    <font>
      <b/>
      <sz val="20"/>
      <color indexed="10"/>
      <name val="Arial"/>
      <family val="2"/>
    </font>
    <font>
      <sz val="20"/>
      <color indexed="12"/>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indexed="8"/>
      <name val="Calibri"/>
      <family val="2"/>
    </font>
    <font>
      <sz val="11"/>
      <name val="Tms Rmn"/>
    </font>
    <font>
      <b/>
      <i/>
      <sz val="16"/>
      <name val="Helv"/>
    </font>
    <font>
      <sz val="11"/>
      <color indexed="9"/>
      <name val="Calibri"/>
      <family val="2"/>
      <charset val="1"/>
    </font>
    <font>
      <sz val="11"/>
      <color indexed="20"/>
      <name val="Calibri"/>
      <family val="2"/>
      <charset val="1"/>
    </font>
    <font>
      <b/>
      <sz val="11"/>
      <color indexed="52"/>
      <name val="Calibri"/>
      <family val="2"/>
      <charset val="1"/>
    </font>
    <font>
      <b/>
      <sz val="11"/>
      <color indexed="9"/>
      <name val="Calibri"/>
      <family val="2"/>
      <charset val="1"/>
    </font>
    <font>
      <i/>
      <sz val="11"/>
      <color indexed="23"/>
      <name val="Calibri"/>
      <family val="2"/>
      <charset val="1"/>
    </font>
    <font>
      <sz val="11"/>
      <color indexed="17"/>
      <name val="Calibri"/>
      <family val="2"/>
      <charset val="1"/>
    </font>
    <font>
      <b/>
      <sz val="15"/>
      <color indexed="56"/>
      <name val="Calibri"/>
      <family val="2"/>
      <charset val="1"/>
    </font>
    <font>
      <b/>
      <sz val="13"/>
      <color indexed="56"/>
      <name val="Calibri"/>
      <family val="2"/>
      <charset val="1"/>
    </font>
    <font>
      <b/>
      <sz val="11"/>
      <color indexed="56"/>
      <name val="Calibri"/>
      <family val="2"/>
      <charset val="1"/>
    </font>
    <font>
      <sz val="11"/>
      <color indexed="62"/>
      <name val="Calibri"/>
      <family val="2"/>
      <charset val="1"/>
    </font>
    <font>
      <sz val="11"/>
      <color indexed="52"/>
      <name val="Calibri"/>
      <family val="2"/>
      <charset val="1"/>
    </font>
    <font>
      <sz val="11"/>
      <color indexed="60"/>
      <name val="Calibri"/>
      <family val="2"/>
      <charset val="1"/>
    </font>
    <font>
      <b/>
      <sz val="11"/>
      <color indexed="63"/>
      <name val="Calibri"/>
      <family val="2"/>
      <charset val="1"/>
    </font>
    <font>
      <b/>
      <sz val="18"/>
      <color indexed="56"/>
      <name val="Cambria"/>
      <family val="2"/>
      <charset val="1"/>
    </font>
    <font>
      <b/>
      <sz val="11"/>
      <color indexed="8"/>
      <name val="Calibri"/>
      <family val="2"/>
      <charset val="1"/>
    </font>
    <font>
      <sz val="11"/>
      <color indexed="10"/>
      <name val="Calibri"/>
      <family val="2"/>
      <charset val="1"/>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8"/>
      <name val="Calibri"/>
      <family val="2"/>
    </font>
    <font>
      <sz val="16"/>
      <color indexed="10"/>
      <name val="Arial"/>
      <family val="2"/>
    </font>
    <font>
      <b/>
      <sz val="14"/>
      <color indexed="10"/>
      <name val="Calibri"/>
      <family val="2"/>
    </font>
    <font>
      <sz val="11"/>
      <color theme="1"/>
      <name val="Calibri"/>
      <family val="2"/>
      <scheme val="minor"/>
    </font>
    <font>
      <u/>
      <sz val="10"/>
      <color theme="10"/>
      <name val="Arial"/>
      <family val="2"/>
    </font>
    <font>
      <sz val="11"/>
      <color theme="1"/>
      <name val="Calibri"/>
      <family val="2"/>
    </font>
    <font>
      <sz val="10"/>
      <color theme="1"/>
      <name val="Arial"/>
      <family val="2"/>
    </font>
    <font>
      <sz val="10"/>
      <color rgb="FFFF0000"/>
      <name val="Arial"/>
      <family val="2"/>
    </font>
    <font>
      <b/>
      <sz val="10"/>
      <color rgb="FFFF0000"/>
      <name val="Arial"/>
      <family val="2"/>
    </font>
    <font>
      <b/>
      <sz val="11"/>
      <color rgb="FFFF0000"/>
      <name val="Arial"/>
      <family val="2"/>
    </font>
    <font>
      <sz val="12"/>
      <color rgb="FF000000"/>
      <name val="Arial"/>
      <family val="2"/>
    </font>
    <font>
      <sz val="9"/>
      <color indexed="81"/>
      <name val="Tahoma"/>
      <family val="2"/>
    </font>
    <font>
      <b/>
      <sz val="9"/>
      <color indexed="81"/>
      <name val="Tahoma"/>
      <family val="2"/>
    </font>
    <font>
      <sz val="11"/>
      <color theme="1"/>
      <name val="Arial"/>
      <family val="2"/>
    </font>
    <font>
      <b/>
      <sz val="22"/>
      <name val="Arial"/>
      <family val="2"/>
    </font>
    <font>
      <b/>
      <sz val="28"/>
      <color theme="1"/>
      <name val="Arial"/>
      <family val="2"/>
    </font>
    <font>
      <b/>
      <sz val="24"/>
      <color theme="1"/>
      <name val="Arial"/>
      <family val="2"/>
    </font>
    <font>
      <b/>
      <sz val="12"/>
      <color theme="1"/>
      <name val="Arial"/>
      <family val="2"/>
    </font>
    <font>
      <b/>
      <sz val="11"/>
      <color theme="1"/>
      <name val="Arial"/>
      <family val="2"/>
    </font>
    <font>
      <sz val="12"/>
      <color theme="1"/>
      <name val="Arial"/>
      <family val="2"/>
    </font>
    <font>
      <sz val="28"/>
      <color theme="1"/>
      <name val="Arial"/>
      <family val="2"/>
    </font>
    <font>
      <b/>
      <sz val="9"/>
      <color rgb="FF000000"/>
      <name val="Tahoma"/>
      <family val="2"/>
    </font>
    <font>
      <sz val="9"/>
      <color rgb="FF000000"/>
      <name val="Tahoma"/>
      <family val="2"/>
    </font>
    <font>
      <b/>
      <sz val="10"/>
      <name val="Arial"/>
      <family val="2"/>
      <charset val="1"/>
    </font>
    <font>
      <b/>
      <sz val="10"/>
      <color rgb="FFFF0000"/>
      <name val="Arial"/>
      <family val="2"/>
      <charset val="1"/>
    </font>
    <font>
      <sz val="10"/>
      <name val="Arial"/>
      <family val="2"/>
      <charset val="1"/>
    </font>
    <font>
      <sz val="10"/>
      <color rgb="FFFF0000"/>
      <name val="Arial"/>
      <family val="2"/>
      <charset val="1"/>
    </font>
    <font>
      <b/>
      <sz val="10"/>
      <color indexed="10"/>
      <name val="Arial"/>
      <family val="2"/>
      <charset val="1"/>
    </font>
    <font>
      <sz val="10"/>
      <color indexed="9"/>
      <name val="Arial"/>
      <family val="2"/>
      <charset val="1"/>
    </font>
    <font>
      <b/>
      <sz val="10"/>
      <name val="Tahoma"/>
      <family val="2"/>
      <charset val="1"/>
    </font>
    <font>
      <sz val="10"/>
      <color indexed="8"/>
      <name val="Arial"/>
      <family val="2"/>
      <charset val="1"/>
    </font>
    <font>
      <b/>
      <sz val="10"/>
      <color theme="6" tint="-0.499984740745262"/>
      <name val="Arial"/>
      <family val="2"/>
    </font>
    <font>
      <sz val="10"/>
      <color rgb="FFC00000"/>
      <name val="Arial"/>
      <family val="2"/>
    </font>
    <font>
      <b/>
      <sz val="11"/>
      <color indexed="23"/>
      <name val="Arial"/>
      <family val="2"/>
    </font>
    <font>
      <b/>
      <sz val="11"/>
      <color theme="6" tint="-0.499984740745262"/>
      <name val="Arial"/>
      <family val="2"/>
    </font>
    <font>
      <b/>
      <sz val="11"/>
      <color rgb="FF3D3EDA"/>
      <name val="Arial"/>
      <family val="2"/>
    </font>
    <font>
      <b/>
      <sz val="10"/>
      <color rgb="FFE3E3E3"/>
      <name val="Arial"/>
      <family val="2"/>
      <charset val="1"/>
    </font>
    <font>
      <sz val="10"/>
      <color rgb="FF92D050"/>
      <name val="Arial"/>
      <family val="2"/>
    </font>
    <font>
      <b/>
      <sz val="10"/>
      <color rgb="FF92D050"/>
      <name val="Arial"/>
      <family val="2"/>
    </font>
  </fonts>
  <fills count="53">
    <fill>
      <patternFill patternType="none"/>
    </fill>
    <fill>
      <patternFill patternType="gray125"/>
    </fill>
    <fill>
      <patternFill patternType="solid">
        <fgColor indexed="47"/>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2"/>
        <bgColor indexed="64"/>
      </patternFill>
    </fill>
    <fill>
      <patternFill patternType="solid">
        <fgColor indexed="12"/>
        <bgColor indexed="3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55"/>
        <bgColor indexed="64"/>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65"/>
        <bgColor indexed="64"/>
      </patternFill>
    </fill>
    <fill>
      <patternFill patternType="solid">
        <fgColor indexed="8"/>
        <bgColor indexed="64"/>
      </patternFill>
    </fill>
    <fill>
      <patternFill patternType="solid">
        <fgColor indexed="9"/>
        <bgColor indexed="9"/>
      </patternFill>
    </fill>
    <fill>
      <patternFill patternType="solid">
        <fgColor indexed="43"/>
        <bgColor indexed="64"/>
      </patternFill>
    </fill>
    <fill>
      <patternFill patternType="darkVertical"/>
    </fill>
    <fill>
      <patternFill patternType="solid">
        <fgColor indexed="49"/>
        <bgColor indexed="8"/>
      </patternFill>
    </fill>
    <fill>
      <patternFill patternType="solid">
        <fgColor indexed="31"/>
        <bgColor indexed="8"/>
      </patternFill>
    </fill>
    <fill>
      <patternFill patternType="solid">
        <fgColor indexed="13"/>
        <bgColor indexed="8"/>
      </patternFill>
    </fill>
    <fill>
      <patternFill patternType="solid">
        <fgColor indexed="12"/>
        <bgColor indexed="8"/>
      </patternFill>
    </fill>
    <fill>
      <patternFill patternType="solid">
        <fgColor indexed="47"/>
        <bgColor indexed="8"/>
      </patternFill>
    </fill>
    <fill>
      <patternFill patternType="solid">
        <fgColor indexed="44"/>
        <bgColor indexed="64"/>
      </patternFill>
    </fill>
    <fill>
      <patternFill patternType="solid">
        <fgColor rgb="FFFFFF00"/>
        <bgColor indexed="64"/>
      </patternFill>
    </fill>
    <fill>
      <patternFill patternType="solid">
        <fgColor rgb="FFFFFF99"/>
        <bgColor indexed="64"/>
      </patternFill>
    </fill>
    <fill>
      <patternFill patternType="solid">
        <fgColor rgb="FFFFFF99"/>
        <bgColor indexed="8"/>
      </patternFill>
    </fill>
    <fill>
      <patternFill patternType="solid">
        <fgColor theme="8" tint="0.39997558519241921"/>
        <bgColor indexed="8"/>
      </patternFill>
    </fill>
    <fill>
      <patternFill patternType="solid">
        <fgColor theme="8" tint="0.39997558519241921"/>
        <bgColor indexed="64"/>
      </patternFill>
    </fill>
    <fill>
      <patternFill patternType="solid">
        <fgColor theme="0"/>
        <bgColor indexed="64"/>
      </patternFill>
    </fill>
    <fill>
      <patternFill patternType="solid">
        <fgColor theme="6" tint="-0.499984740745262"/>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92D050"/>
        <bgColor indexed="64"/>
      </patternFill>
    </fill>
    <fill>
      <patternFill patternType="solid">
        <fgColor rgb="FF92D050"/>
        <bgColor indexed="8"/>
      </patternFill>
    </fill>
  </fills>
  <borders count="10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bottom style="double">
        <color indexed="8"/>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55"/>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diagonal/>
    </border>
    <border>
      <left style="thin">
        <color indexed="64"/>
      </left>
      <right/>
      <top/>
      <bottom style="thin">
        <color indexed="64"/>
      </bottom>
      <diagonal/>
    </border>
    <border>
      <left/>
      <right/>
      <top style="thin">
        <color indexed="62"/>
      </top>
      <bottom style="double">
        <color indexed="6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style="double">
        <color indexed="64"/>
      </bottom>
      <diagonal/>
    </border>
    <border>
      <left style="medium">
        <color indexed="64"/>
      </left>
      <right/>
      <top style="medium">
        <color indexed="64"/>
      </top>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bottom style="double">
        <color indexed="64"/>
      </bottom>
      <diagonal/>
    </border>
    <border>
      <left style="medium">
        <color indexed="64"/>
      </left>
      <right/>
      <top/>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thin">
        <color indexed="64"/>
      </right>
      <top/>
      <bottom style="double">
        <color indexed="64"/>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bottom/>
      <diagonal/>
    </border>
    <border>
      <left/>
      <right style="double">
        <color indexed="64"/>
      </right>
      <top/>
      <bottom style="double">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top/>
      <bottom style="double">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top style="thin">
        <color indexed="64"/>
      </top>
      <bottom style="double">
        <color indexed="64"/>
      </bottom>
      <diagonal/>
    </border>
    <border>
      <left style="thin">
        <color indexed="64"/>
      </left>
      <right/>
      <top style="double">
        <color indexed="64"/>
      </top>
      <bottom/>
      <diagonal/>
    </border>
    <border>
      <left style="thin">
        <color indexed="64"/>
      </left>
      <right style="medium">
        <color indexed="64"/>
      </right>
      <top/>
      <bottom style="thin">
        <color indexed="64"/>
      </bottom>
      <diagonal/>
    </border>
    <border>
      <left/>
      <right style="medium">
        <color indexed="64"/>
      </right>
      <top/>
      <bottom style="double">
        <color indexed="64"/>
      </bottom>
      <diagonal/>
    </border>
    <border>
      <left/>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bottom style="medium">
        <color indexed="64"/>
      </bottom>
      <diagonal/>
    </border>
    <border>
      <left style="hair">
        <color indexed="64"/>
      </left>
      <right style="hair">
        <color indexed="64"/>
      </right>
      <top/>
      <bottom style="medium">
        <color indexed="64"/>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double">
        <color indexed="64"/>
      </top>
      <bottom/>
      <diagonal/>
    </border>
    <border>
      <left/>
      <right style="medium">
        <color indexed="64"/>
      </right>
      <top style="double">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diagonal/>
    </border>
    <border>
      <left style="hair">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medium">
        <color indexed="64"/>
      </right>
      <top/>
      <bottom style="thin">
        <color indexed="64"/>
      </bottom>
      <diagonal/>
    </border>
    <border>
      <left style="thin">
        <color indexed="64"/>
      </left>
      <right style="thin">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thin">
        <color indexed="64"/>
      </right>
      <top style="double">
        <color indexed="64"/>
      </top>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top style="double">
        <color indexed="64"/>
      </top>
      <bottom style="medium">
        <color indexed="64"/>
      </bottom>
      <diagonal/>
    </border>
    <border>
      <left/>
      <right style="medium">
        <color indexed="64"/>
      </right>
      <top style="thin">
        <color indexed="64"/>
      </top>
      <bottom style="double">
        <color indexed="64"/>
      </bottom>
      <diagonal/>
    </border>
    <border>
      <left style="medium">
        <color indexed="64"/>
      </left>
      <right style="thin">
        <color indexed="64"/>
      </right>
      <top/>
      <bottom style="double">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68">
    <xf numFmtId="0" fontId="0" fillId="0" borderId="0"/>
    <xf numFmtId="0" fontId="86" fillId="0" borderId="0"/>
    <xf numFmtId="0" fontId="87" fillId="0" borderId="0"/>
    <xf numFmtId="0" fontId="41" fillId="3" borderId="0" applyNumberFormat="0" applyBorder="0" applyAlignment="0" applyProtection="0"/>
    <xf numFmtId="0" fontId="2" fillId="3" borderId="0" applyNumberFormat="0" applyBorder="0" applyAlignment="0" applyProtection="0"/>
    <xf numFmtId="0" fontId="41" fillId="5" borderId="0" applyNumberFormat="0" applyBorder="0" applyAlignment="0" applyProtection="0"/>
    <xf numFmtId="0" fontId="2" fillId="5" borderId="0" applyNumberFormat="0" applyBorder="0" applyAlignment="0" applyProtection="0"/>
    <xf numFmtId="0" fontId="41" fillId="7" borderId="0" applyNumberFormat="0" applyBorder="0" applyAlignment="0" applyProtection="0"/>
    <xf numFmtId="0" fontId="2" fillId="7" borderId="0" applyNumberFormat="0" applyBorder="0" applyAlignment="0" applyProtection="0"/>
    <xf numFmtId="0" fontId="41" fillId="8" borderId="0" applyNumberFormat="0" applyBorder="0" applyAlignment="0" applyProtection="0"/>
    <xf numFmtId="0" fontId="2" fillId="8" borderId="0" applyNumberFormat="0" applyBorder="0" applyAlignment="0" applyProtection="0"/>
    <xf numFmtId="0" fontId="41" fillId="9" borderId="0" applyNumberFormat="0" applyBorder="0" applyAlignment="0" applyProtection="0"/>
    <xf numFmtId="0" fontId="2" fillId="9" borderId="0" applyNumberFormat="0" applyBorder="0" applyAlignment="0" applyProtection="0"/>
    <xf numFmtId="0" fontId="41" fillId="2" borderId="0" applyNumberFormat="0" applyBorder="0" applyAlignment="0" applyProtection="0"/>
    <xf numFmtId="0" fontId="2" fillId="2" borderId="0" applyNumberFormat="0" applyBorder="0" applyAlignment="0" applyProtection="0"/>
    <xf numFmtId="178" fontId="3" fillId="0" borderId="0" applyProtection="0">
      <protection locked="0"/>
    </xf>
    <xf numFmtId="0" fontId="41" fillId="11" borderId="0" applyNumberFormat="0" applyBorder="0" applyAlignment="0" applyProtection="0"/>
    <xf numFmtId="0" fontId="2" fillId="11" borderId="0" applyNumberFormat="0" applyBorder="0" applyAlignment="0" applyProtection="0"/>
    <xf numFmtId="0" fontId="41" fillId="4" borderId="0" applyNumberFormat="0" applyBorder="0" applyAlignment="0" applyProtection="0"/>
    <xf numFmtId="0" fontId="2" fillId="4" borderId="0" applyNumberFormat="0" applyBorder="0" applyAlignment="0" applyProtection="0"/>
    <xf numFmtId="0" fontId="41" fillId="13" borderId="0" applyNumberFormat="0" applyBorder="0" applyAlignment="0" applyProtection="0"/>
    <xf numFmtId="0" fontId="2" fillId="13" borderId="0" applyNumberFormat="0" applyBorder="0" applyAlignment="0" applyProtection="0"/>
    <xf numFmtId="0" fontId="41" fillId="8" borderId="0" applyNumberFormat="0" applyBorder="0" applyAlignment="0" applyProtection="0"/>
    <xf numFmtId="0" fontId="2" fillId="8" borderId="0" applyNumberFormat="0" applyBorder="0" applyAlignment="0" applyProtection="0"/>
    <xf numFmtId="0" fontId="41" fillId="11" borderId="0" applyNumberFormat="0" applyBorder="0" applyAlignment="0" applyProtection="0"/>
    <xf numFmtId="0" fontId="2" fillId="11" borderId="0" applyNumberFormat="0" applyBorder="0" applyAlignment="0" applyProtection="0"/>
    <xf numFmtId="0" fontId="41" fillId="14" borderId="0" applyNumberFormat="0" applyBorder="0" applyAlignment="0" applyProtection="0"/>
    <xf numFmtId="0" fontId="2" fillId="14" borderId="0" applyNumberFormat="0" applyBorder="0" applyAlignment="0" applyProtection="0"/>
    <xf numFmtId="0" fontId="141" fillId="16" borderId="0" applyNumberFormat="0" applyBorder="0" applyAlignment="0" applyProtection="0"/>
    <xf numFmtId="0" fontId="126" fillId="16" borderId="0" applyNumberFormat="0" applyBorder="0" applyAlignment="0" applyProtection="0"/>
    <xf numFmtId="0" fontId="141" fillId="4" borderId="0" applyNumberFormat="0" applyBorder="0" applyAlignment="0" applyProtection="0"/>
    <xf numFmtId="0" fontId="126" fillId="4" borderId="0" applyNumberFormat="0" applyBorder="0" applyAlignment="0" applyProtection="0"/>
    <xf numFmtId="0" fontId="141" fillId="13" borderId="0" applyNumberFormat="0" applyBorder="0" applyAlignment="0" applyProtection="0"/>
    <xf numFmtId="0" fontId="126" fillId="13" borderId="0" applyNumberFormat="0" applyBorder="0" applyAlignment="0" applyProtection="0"/>
    <xf numFmtId="0" fontId="141" fillId="17" borderId="0" applyNumberFormat="0" applyBorder="0" applyAlignment="0" applyProtection="0"/>
    <xf numFmtId="0" fontId="126" fillId="17" borderId="0" applyNumberFormat="0" applyBorder="0" applyAlignment="0" applyProtection="0"/>
    <xf numFmtId="0" fontId="141" fillId="15" borderId="0" applyNumberFormat="0" applyBorder="0" applyAlignment="0" applyProtection="0"/>
    <xf numFmtId="0" fontId="126" fillId="15" borderId="0" applyNumberFormat="0" applyBorder="0" applyAlignment="0" applyProtection="0"/>
    <xf numFmtId="0" fontId="141" fillId="18" borderId="0" applyNumberFormat="0" applyBorder="0" applyAlignment="0" applyProtection="0"/>
    <xf numFmtId="0" fontId="126" fillId="18" borderId="0" applyNumberFormat="0" applyBorder="0" applyAlignment="0" applyProtection="0"/>
    <xf numFmtId="0" fontId="29" fillId="19" borderId="0" applyNumberFormat="0" applyBorder="0" applyAlignment="0">
      <alignment horizontal="center"/>
    </xf>
    <xf numFmtId="0" fontId="29" fillId="19" borderId="0" applyNumberFormat="0" applyBorder="0" applyAlignment="0">
      <alignment horizontal="center"/>
    </xf>
    <xf numFmtId="0" fontId="29" fillId="19" borderId="0" applyNumberFormat="0" applyBorder="0" applyAlignment="0">
      <alignment horizontal="center"/>
    </xf>
    <xf numFmtId="0" fontId="29" fillId="19" borderId="0" applyNumberFormat="0" applyBorder="0" applyAlignment="0">
      <alignment horizontal="center"/>
    </xf>
    <xf numFmtId="0" fontId="29" fillId="20" borderId="0" applyNumberFormat="0" applyBorder="0" applyAlignment="0"/>
    <xf numFmtId="0" fontId="29" fillId="19" borderId="0" applyNumberFormat="0" applyBorder="0" applyAlignment="0">
      <alignment horizontal="center"/>
    </xf>
    <xf numFmtId="0" fontId="29" fillId="20" borderId="0" applyNumberFormat="0" applyBorder="0" applyAlignment="0"/>
    <xf numFmtId="0" fontId="29" fillId="20" borderId="0" applyNumberFormat="0" applyBorder="0" applyAlignment="0"/>
    <xf numFmtId="0" fontId="29" fillId="19" borderId="0" applyNumberFormat="0" applyBorder="0" applyAlignment="0">
      <alignment horizontal="center"/>
    </xf>
    <xf numFmtId="0" fontId="29" fillId="19" borderId="0" applyNumberFormat="0" applyBorder="0" applyAlignment="0">
      <alignment horizontal="center"/>
    </xf>
    <xf numFmtId="0" fontId="29" fillId="20" borderId="0" applyNumberFormat="0" applyBorder="0" applyAlignment="0"/>
    <xf numFmtId="0" fontId="29" fillId="20" borderId="0" applyNumberFormat="0" applyBorder="0" applyAlignment="0"/>
    <xf numFmtId="0" fontId="29" fillId="19" borderId="0" applyNumberFormat="0" applyBorder="0" applyAlignment="0">
      <alignment horizontal="center"/>
    </xf>
    <xf numFmtId="0" fontId="29" fillId="19" borderId="0" applyNumberFormat="0" applyBorder="0" applyAlignment="0">
      <alignment horizontal="center"/>
    </xf>
    <xf numFmtId="0" fontId="29" fillId="19" borderId="0" applyNumberFormat="0" applyBorder="0" applyAlignment="0">
      <alignment horizontal="center"/>
    </xf>
    <xf numFmtId="0" fontId="29" fillId="19" borderId="0" applyNumberFormat="0" applyBorder="0" applyAlignment="0">
      <alignment horizontal="center"/>
    </xf>
    <xf numFmtId="0" fontId="141" fillId="21" borderId="0" applyNumberFormat="0" applyBorder="0" applyAlignment="0" applyProtection="0"/>
    <xf numFmtId="0" fontId="126" fillId="21" borderId="0" applyNumberFormat="0" applyBorder="0" applyAlignment="0" applyProtection="0"/>
    <xf numFmtId="0" fontId="141" fillId="22" borderId="0" applyNumberFormat="0" applyBorder="0" applyAlignment="0" applyProtection="0"/>
    <xf numFmtId="0" fontId="126" fillId="22" borderId="0" applyNumberFormat="0" applyBorder="0" applyAlignment="0" applyProtection="0"/>
    <xf numFmtId="0" fontId="141" fillId="23" borderId="0" applyNumberFormat="0" applyBorder="0" applyAlignment="0" applyProtection="0"/>
    <xf numFmtId="0" fontId="126" fillId="23" borderId="0" applyNumberFormat="0" applyBorder="0" applyAlignment="0" applyProtection="0"/>
    <xf numFmtId="0" fontId="141" fillId="17" borderId="0" applyNumberFormat="0" applyBorder="0" applyAlignment="0" applyProtection="0"/>
    <xf numFmtId="0" fontId="126" fillId="17" borderId="0" applyNumberFormat="0" applyBorder="0" applyAlignment="0" applyProtection="0"/>
    <xf numFmtId="0" fontId="141" fillId="15" borderId="0" applyNumberFormat="0" applyBorder="0" applyAlignment="0" applyProtection="0"/>
    <xf numFmtId="0" fontId="126" fillId="15" borderId="0" applyNumberFormat="0" applyBorder="0" applyAlignment="0" applyProtection="0"/>
    <xf numFmtId="0" fontId="141" fillId="24" borderId="0" applyNumberFormat="0" applyBorder="0" applyAlignment="0" applyProtection="0"/>
    <xf numFmtId="0" fontId="126" fillId="24" borderId="0" applyNumberFormat="0" applyBorder="0" applyAlignment="0" applyProtection="0"/>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37" fontId="17" fillId="25" borderId="1" applyBorder="0" applyProtection="0">
      <alignment vertical="center"/>
    </xf>
    <xf numFmtId="0" fontId="30" fillId="0" borderId="0">
      <alignment horizontal="center" wrapText="1"/>
      <protection locked="0"/>
    </xf>
    <xf numFmtId="0" fontId="3" fillId="0" borderId="0" applyFill="0" applyBorder="0">
      <alignment vertical="center"/>
    </xf>
    <xf numFmtId="0" fontId="3" fillId="0" borderId="0" applyFill="0" applyBorder="0">
      <alignment vertical="center"/>
    </xf>
    <xf numFmtId="0" fontId="3" fillId="0" borderId="0" applyFill="0" applyBorder="0">
      <alignment vertical="center"/>
    </xf>
    <xf numFmtId="0" fontId="3" fillId="0" borderId="0" applyFill="0" applyBorder="0">
      <alignment vertical="center"/>
    </xf>
    <xf numFmtId="9" fontId="31" fillId="0" borderId="0"/>
    <xf numFmtId="0" fontId="142" fillId="5" borderId="0" applyNumberFormat="0" applyBorder="0" applyAlignment="0" applyProtection="0"/>
    <xf numFmtId="0" fontId="127" fillId="5" borderId="0" applyNumberFormat="0" applyBorder="0" applyAlignment="0" applyProtection="0"/>
    <xf numFmtId="0" fontId="32" fillId="0" borderId="0" applyNumberFormat="0" applyFill="0" applyBorder="0" applyAlignment="0" applyProtection="0"/>
    <xf numFmtId="0" fontId="18" fillId="26" borderId="0" applyBorder="0">
      <alignment horizontal="left" vertical="center" indent="1"/>
    </xf>
    <xf numFmtId="0" fontId="88" fillId="0" borderId="0" applyNumberFormat="0" applyFill="0" applyBorder="0" applyAlignment="0" applyProtection="0"/>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2" applyNumberFormat="0" applyBorder="0">
      <alignment horizontal="center"/>
    </xf>
    <xf numFmtId="0" fontId="40" fillId="0" borderId="0" applyNumberFormat="0" applyFill="0" applyBorder="0" applyAlignment="0" applyProtection="0"/>
    <xf numFmtId="0" fontId="25" fillId="0" borderId="0"/>
    <xf numFmtId="4" fontId="25" fillId="0" borderId="0"/>
    <xf numFmtId="0" fontId="25" fillId="0" borderId="0">
      <alignment horizontal="left"/>
    </xf>
    <xf numFmtId="0" fontId="33" fillId="0" borderId="0"/>
    <xf numFmtId="179" fontId="3" fillId="0" borderId="0" applyFill="0" applyBorder="0" applyAlignment="0"/>
    <xf numFmtId="208" fontId="3" fillId="0" borderId="0" applyFill="0" applyBorder="0" applyAlignment="0"/>
    <xf numFmtId="180" fontId="3" fillId="0" borderId="0" applyFill="0" applyBorder="0" applyAlignment="0"/>
    <xf numFmtId="181" fontId="3" fillId="0" borderId="0" applyFill="0" applyBorder="0" applyAlignment="0"/>
    <xf numFmtId="182" fontId="3" fillId="0" borderId="0" applyFill="0" applyBorder="0" applyAlignment="0"/>
    <xf numFmtId="183" fontId="3" fillId="0" borderId="0" applyFill="0" applyBorder="0" applyAlignment="0"/>
    <xf numFmtId="184" fontId="3" fillId="0" borderId="0" applyFill="0" applyBorder="0" applyAlignment="0"/>
    <xf numFmtId="185" fontId="27" fillId="0" borderId="0" applyFill="0" applyBorder="0" applyAlignment="0"/>
    <xf numFmtId="209" fontId="27" fillId="0" borderId="0" applyFill="0" applyBorder="0" applyAlignment="0"/>
    <xf numFmtId="180" fontId="3" fillId="0" borderId="0" applyFill="0" applyBorder="0" applyAlignment="0"/>
    <xf numFmtId="0" fontId="143"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43"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0" fontId="128" fillId="10" borderId="3" applyNumberFormat="0" applyAlignment="0" applyProtection="0"/>
    <xf numFmtId="186" fontId="25" fillId="0" borderId="4" applyNumberFormat="0" applyFill="0" applyBorder="0" applyAlignment="0" applyProtection="0">
      <protection locked="0"/>
    </xf>
    <xf numFmtId="0" fontId="144" fillId="27" borderId="5" applyNumberFormat="0" applyAlignment="0" applyProtection="0"/>
    <xf numFmtId="0" fontId="129" fillId="27" borderId="5" applyNumberFormat="0" applyAlignment="0" applyProtection="0"/>
    <xf numFmtId="187" fontId="28" fillId="0" borderId="6" applyNumberFormat="0">
      <alignment horizontal="center" vertical="top" wrapText="1"/>
    </xf>
    <xf numFmtId="187" fontId="28" fillId="0" borderId="6" applyNumberFormat="0">
      <alignment horizontal="center" vertical="top" wrapText="1"/>
    </xf>
    <xf numFmtId="187" fontId="28" fillId="0" borderId="6" applyNumberFormat="0">
      <alignment horizontal="center" vertical="top" wrapText="1"/>
    </xf>
    <xf numFmtId="187" fontId="28" fillId="0" borderId="6" applyNumberFormat="0">
      <alignment horizontal="center" vertical="top" wrapText="1"/>
    </xf>
    <xf numFmtId="187" fontId="28" fillId="0" borderId="6" applyNumberFormat="0">
      <alignment horizontal="center" vertical="top" wrapText="1"/>
    </xf>
    <xf numFmtId="187" fontId="28" fillId="0" borderId="6" applyNumberFormat="0">
      <alignment horizontal="center" vertical="top" wrapText="1"/>
    </xf>
    <xf numFmtId="37" fontId="32" fillId="0" borderId="0"/>
    <xf numFmtId="210" fontId="139" fillId="0" borderId="0"/>
    <xf numFmtId="37" fontId="32" fillId="0" borderId="0"/>
    <xf numFmtId="210" fontId="139" fillId="0" borderId="0"/>
    <xf numFmtId="37" fontId="32" fillId="0" borderId="0"/>
    <xf numFmtId="210" fontId="139" fillId="0" borderId="0"/>
    <xf numFmtId="37" fontId="32" fillId="0" borderId="0"/>
    <xf numFmtId="210" fontId="139" fillId="0" borderId="0"/>
    <xf numFmtId="37" fontId="32" fillId="0" borderId="0"/>
    <xf numFmtId="210" fontId="139" fillId="0" borderId="0"/>
    <xf numFmtId="37" fontId="32" fillId="0" borderId="0"/>
    <xf numFmtId="210" fontId="139" fillId="0" borderId="0"/>
    <xf numFmtId="37" fontId="32" fillId="0" borderId="0"/>
    <xf numFmtId="210" fontId="139" fillId="0" borderId="0"/>
    <xf numFmtId="37" fontId="32" fillId="0" borderId="0"/>
    <xf numFmtId="210" fontId="139" fillId="0" borderId="0"/>
    <xf numFmtId="164" fontId="23" fillId="0" borderId="0" applyFont="0" applyFill="0" applyBorder="0" applyAlignment="0" applyProtection="0"/>
    <xf numFmtId="164" fontId="2"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138"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53" fillId="0" borderId="0" applyFont="0" applyFill="0" applyBorder="0" applyAlignment="0" applyProtection="0"/>
    <xf numFmtId="41" fontId="2" fillId="0" borderId="0" applyFont="0" applyFill="0" applyBorder="0" applyAlignment="0" applyProtection="0"/>
    <xf numFmtId="41" fontId="138"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161"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138"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138"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18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1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66" fontId="2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93" fillId="0" borderId="0" applyFont="0" applyFill="0" applyBorder="0" applyAlignment="0" applyProtection="0"/>
    <xf numFmtId="43" fontId="13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23" fillId="0" borderId="0" applyFont="0" applyFill="0" applyBorder="0" applyAlignment="0" applyProtection="0"/>
    <xf numFmtId="166"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3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8" fontId="35" fillId="0" borderId="0"/>
    <xf numFmtId="43" fontId="3" fillId="0" borderId="0" applyFont="0" applyFill="0" applyBorder="0" applyAlignment="0" applyProtection="0"/>
    <xf numFmtId="43" fontId="3" fillId="0" borderId="0" applyFont="0" applyFill="0" applyBorder="0" applyAlignment="0" applyProtection="0"/>
    <xf numFmtId="3" fontId="36" fillId="0" borderId="0" applyFont="0" applyFill="0" applyBorder="0" applyAlignment="0" applyProtection="0"/>
    <xf numFmtId="0" fontId="37" fillId="0" borderId="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8"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0" fontId="37" fillId="0" borderId="0"/>
    <xf numFmtId="0" fontId="39" fillId="0" borderId="0" applyNumberFormat="0" applyAlignment="0">
      <alignment horizontal="left"/>
    </xf>
    <xf numFmtId="189"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8" fontId="32" fillId="0" borderId="6"/>
    <xf numFmtId="189" fontId="32" fillId="0" borderId="6"/>
    <xf numFmtId="189" fontId="32" fillId="0" borderId="6"/>
    <xf numFmtId="189" fontId="32" fillId="0" borderId="6"/>
    <xf numFmtId="189" fontId="32" fillId="0" borderId="6"/>
    <xf numFmtId="189" fontId="32" fillId="0" borderId="6"/>
    <xf numFmtId="190" fontId="40" fillId="0" borderId="7" applyBorder="0"/>
    <xf numFmtId="42" fontId="40" fillId="0" borderId="7" applyBorder="0"/>
    <xf numFmtId="42" fontId="40" fillId="0" borderId="7" applyBorder="0"/>
    <xf numFmtId="42" fontId="40" fillId="0" borderId="7" applyBorder="0"/>
    <xf numFmtId="42" fontId="40" fillId="0" borderId="7" applyBorder="0"/>
    <xf numFmtId="42" fontId="40" fillId="0" borderId="7" applyBorder="0"/>
    <xf numFmtId="42" fontId="40" fillId="0" borderId="7" applyBorder="0"/>
    <xf numFmtId="180" fontId="3" fillId="0" borderId="0" applyFont="0" applyFill="0" applyBorder="0" applyAlignment="0" applyProtection="0"/>
    <xf numFmtId="168" fontId="16" fillId="0" borderId="0" applyFont="0" applyFill="0" applyBorder="0" applyAlignment="0" applyProtection="0"/>
    <xf numFmtId="165" fontId="23" fillId="0" borderId="0" applyFont="0" applyFill="0" applyBorder="0" applyAlignment="0" applyProtection="0"/>
    <xf numFmtId="16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5" fontId="2"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5" fontId="25"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5" fontId="27"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9" fontId="41" fillId="0" borderId="0" applyFont="0" applyFill="0" applyBorder="0" applyAlignment="0" applyProtection="0"/>
    <xf numFmtId="165" fontId="3"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169"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169"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8" fontId="41" fillId="0" borderId="0" applyFont="0" applyFill="0" applyBorder="0" applyAlignment="0" applyProtection="0"/>
    <xf numFmtId="165" fontId="3" fillId="0" borderId="0" applyFont="0" applyFill="0" applyBorder="0" applyAlignment="0" applyProtection="0"/>
    <xf numFmtId="191" fontId="3" fillId="0" borderId="0">
      <protection locked="0"/>
    </xf>
    <xf numFmtId="211" fontId="3" fillId="0" borderId="0">
      <protection locked="0"/>
    </xf>
    <xf numFmtId="192" fontId="3" fillId="0" borderId="0" applyFont="0" applyFill="0" applyBorder="0" applyAlignment="0" applyProtection="0"/>
    <xf numFmtId="212" fontId="38" fillId="0" borderId="0" applyFont="0" applyFill="0" applyBorder="0" applyAlignment="0" applyProtection="0"/>
    <xf numFmtId="193" fontId="35" fillId="0" borderId="0"/>
    <xf numFmtId="194" fontId="42" fillId="0" borderId="8" applyNumberFormat="0" applyBorder="0">
      <alignment horizontal="right"/>
    </xf>
    <xf numFmtId="194" fontId="42" fillId="0" borderId="8" applyNumberFormat="0" applyBorder="0">
      <alignment horizontal="right"/>
    </xf>
    <xf numFmtId="0" fontId="10" fillId="0" borderId="0" applyProtection="0"/>
    <xf numFmtId="0" fontId="37" fillId="0" borderId="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14" fontId="6" fillId="0" borderId="0" applyFill="0" applyBorder="0" applyAlignment="0"/>
    <xf numFmtId="14" fontId="37" fillId="0" borderId="0"/>
    <xf numFmtId="41" fontId="3" fillId="0" borderId="0" applyFont="0" applyFill="0" applyBorder="0" applyAlignment="0" applyProtection="0"/>
    <xf numFmtId="43" fontId="3" fillId="0" borderId="0" applyFont="0" applyFill="0" applyBorder="0" applyAlignment="0" applyProtection="0"/>
    <xf numFmtId="195" fontId="35" fillId="0" borderId="0"/>
    <xf numFmtId="0" fontId="43" fillId="0" borderId="9">
      <alignment horizontal="centerContinuous" vertical="center" wrapText="1"/>
    </xf>
    <xf numFmtId="0" fontId="43" fillId="0" borderId="9">
      <alignment horizontal="centerContinuous" vertical="center" wrapText="1"/>
    </xf>
    <xf numFmtId="184" fontId="3" fillId="0" borderId="0" applyFill="0" applyBorder="0" applyAlignment="0"/>
    <xf numFmtId="180" fontId="3" fillId="0" borderId="0" applyFill="0" applyBorder="0" applyAlignment="0"/>
    <xf numFmtId="184" fontId="3" fillId="0" borderId="0" applyFill="0" applyBorder="0" applyAlignment="0"/>
    <xf numFmtId="185" fontId="27" fillId="0" borderId="0" applyFill="0" applyBorder="0" applyAlignment="0"/>
    <xf numFmtId="209" fontId="27" fillId="0" borderId="0" applyFill="0" applyBorder="0" applyAlignment="0"/>
    <xf numFmtId="180" fontId="3" fillId="0" borderId="0" applyFill="0" applyBorder="0" applyAlignment="0"/>
    <xf numFmtId="0" fontId="44" fillId="0" borderId="0" applyNumberFormat="0" applyAlignment="0">
      <alignment horizontal="left"/>
    </xf>
    <xf numFmtId="0" fontId="89" fillId="0" borderId="10"/>
    <xf numFmtId="0" fontId="3" fillId="0" borderId="0">
      <alignment horizontal="left"/>
    </xf>
    <xf numFmtId="0" fontId="7" fillId="0" borderId="0"/>
    <xf numFmtId="0" fontId="7" fillId="0" borderId="0">
      <alignment horizontal="left"/>
    </xf>
    <xf numFmtId="205" fontId="3" fillId="0" borderId="0" applyFont="0" applyFill="0" applyBorder="0" applyAlignment="0" applyProtection="0"/>
    <xf numFmtId="0" fontId="145" fillId="0" borderId="0" applyNumberFormat="0" applyFill="0" applyBorder="0" applyAlignment="0" applyProtection="0"/>
    <xf numFmtId="0" fontId="130" fillId="0" borderId="0" applyNumberFormat="0" applyFill="0" applyBorder="0" applyAlignment="0" applyProtection="0"/>
    <xf numFmtId="196" fontId="45" fillId="0" borderId="0">
      <protection locked="0"/>
    </xf>
    <xf numFmtId="196" fontId="46" fillId="0" borderId="0">
      <protection locked="0"/>
    </xf>
    <xf numFmtId="196" fontId="47" fillId="0" borderId="0">
      <protection locked="0"/>
    </xf>
    <xf numFmtId="196" fontId="46" fillId="0" borderId="0">
      <protection locked="0"/>
    </xf>
    <xf numFmtId="196" fontId="46" fillId="0" borderId="0">
      <protection locked="0"/>
    </xf>
    <xf numFmtId="196" fontId="46" fillId="0" borderId="0">
      <protection locked="0"/>
    </xf>
    <xf numFmtId="196" fontId="47" fillId="0" borderId="0">
      <protection locked="0"/>
    </xf>
    <xf numFmtId="2" fontId="10" fillId="0" borderId="0" applyProtection="0"/>
    <xf numFmtId="2" fontId="38" fillId="0" borderId="0" applyFont="0" applyFill="0" applyBorder="0" applyAlignment="0" applyProtection="0"/>
    <xf numFmtId="0" fontId="25" fillId="0" borderId="0" applyBorder="0" applyProtection="0">
      <alignment vertical="center"/>
    </xf>
    <xf numFmtId="0" fontId="146" fillId="7" borderId="0" applyNumberFormat="0" applyBorder="0" applyAlignment="0" applyProtection="0"/>
    <xf numFmtId="0" fontId="131" fillId="7" borderId="0" applyNumberFormat="0" applyBorder="0" applyAlignment="0" applyProtection="0"/>
    <xf numFmtId="38" fontId="25" fillId="28" borderId="0" applyNumberFormat="0" applyBorder="0" applyAlignment="0" applyProtection="0"/>
    <xf numFmtId="0" fontId="90" fillId="0" borderId="0"/>
    <xf numFmtId="0" fontId="4" fillId="0" borderId="0"/>
    <xf numFmtId="4" fontId="7" fillId="29" borderId="0"/>
    <xf numFmtId="0" fontId="91" fillId="0" borderId="0"/>
    <xf numFmtId="4" fontId="4" fillId="30" borderId="0">
      <alignment horizontal="right"/>
    </xf>
    <xf numFmtId="0" fontId="48" fillId="31" borderId="0"/>
    <xf numFmtId="37" fontId="19" fillId="32" borderId="10" applyBorder="0">
      <alignment horizontal="left" vertical="center" indent="1"/>
    </xf>
    <xf numFmtId="37" fontId="20" fillId="28" borderId="11" applyFill="0">
      <alignment vertical="center"/>
    </xf>
    <xf numFmtId="0" fontId="20" fillId="33" borderId="12" applyNumberFormat="0">
      <alignment horizontal="left" vertical="top" indent="1"/>
    </xf>
    <xf numFmtId="0" fontId="9" fillId="0" borderId="11" applyNumberFormat="0" applyAlignment="0" applyProtection="0">
      <alignment horizontal="left" vertical="center"/>
    </xf>
    <xf numFmtId="0" fontId="20" fillId="25" borderId="0" applyBorder="0">
      <alignment horizontal="left" vertical="center" indent="1"/>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9" fillId="0" borderId="4">
      <alignment horizontal="left" vertical="center"/>
    </xf>
    <xf numFmtId="0" fontId="20" fillId="0" borderId="12" applyNumberFormat="0" applyFill="0">
      <alignment horizontal="centerContinuous" vertical="top"/>
    </xf>
    <xf numFmtId="0" fontId="21" fillId="25" borderId="13" applyNumberFormat="0" applyBorder="0">
      <alignment horizontal="left" vertical="center" indent="1"/>
    </xf>
    <xf numFmtId="0" fontId="147" fillId="0" borderId="14" applyNumberFormat="0" applyFill="0" applyAlignment="0" applyProtection="0"/>
    <xf numFmtId="0" fontId="157" fillId="0" borderId="14" applyNumberFormat="0" applyFill="0" applyAlignment="0" applyProtection="0"/>
    <xf numFmtId="0" fontId="148" fillId="0" borderId="15" applyNumberFormat="0" applyFill="0" applyAlignment="0" applyProtection="0"/>
    <xf numFmtId="0" fontId="158" fillId="0" borderId="15" applyNumberFormat="0" applyFill="0" applyAlignment="0" applyProtection="0"/>
    <xf numFmtId="0" fontId="149" fillId="0" borderId="16" applyNumberFormat="0" applyFill="0" applyAlignment="0" applyProtection="0"/>
    <xf numFmtId="0" fontId="159" fillId="0" borderId="16" applyNumberFormat="0" applyFill="0" applyAlignment="0" applyProtection="0"/>
    <xf numFmtId="0" fontId="149" fillId="0" borderId="0" applyNumberFormat="0" applyFill="0" applyBorder="0" applyAlignment="0" applyProtection="0"/>
    <xf numFmtId="0" fontId="159" fillId="0" borderId="0" applyNumberFormat="0" applyFill="0" applyBorder="0" applyAlignment="0" applyProtection="0"/>
    <xf numFmtId="0" fontId="5" fillId="0" borderId="0" applyProtection="0"/>
    <xf numFmtId="0" fontId="9" fillId="0" borderId="0" applyProtection="0"/>
    <xf numFmtId="0" fontId="49" fillId="0" borderId="12">
      <alignment horizontal="center"/>
    </xf>
    <xf numFmtId="0" fontId="49" fillId="0" borderId="0">
      <alignment horizontal="center"/>
    </xf>
    <xf numFmtId="0" fontId="165" fillId="0" borderId="0" applyNumberFormat="0" applyFill="0" applyBorder="0" applyAlignment="0" applyProtection="0"/>
    <xf numFmtId="10" fontId="25" fillId="29" borderId="6" applyNumberFormat="0" applyBorder="0" applyAlignment="0" applyProtection="0"/>
    <xf numFmtId="10" fontId="25" fillId="29" borderId="6" applyNumberFormat="0" applyBorder="0" applyAlignment="0" applyProtection="0"/>
    <xf numFmtId="10" fontId="25" fillId="29" borderId="6" applyNumberFormat="0" applyBorder="0" applyAlignment="0" applyProtection="0"/>
    <xf numFmtId="10" fontId="25" fillId="29" borderId="6" applyNumberFormat="0" applyBorder="0" applyAlignment="0" applyProtection="0"/>
    <xf numFmtId="10" fontId="25" fillId="29" borderId="6" applyNumberFormat="0" applyBorder="0" applyAlignment="0" applyProtection="0"/>
    <xf numFmtId="10" fontId="25" fillId="29" borderId="6" applyNumberFormat="0" applyBorder="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50"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50"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0" fontId="132" fillId="2" borderId="3" applyNumberFormat="0" applyAlignment="0" applyProtection="0"/>
    <xf numFmtId="187" fontId="50" fillId="0" borderId="17"/>
    <xf numFmtId="184" fontId="3" fillId="0" borderId="0" applyFill="0" applyBorder="0" applyAlignment="0"/>
    <xf numFmtId="180" fontId="3" fillId="0" borderId="0" applyFill="0" applyBorder="0" applyAlignment="0"/>
    <xf numFmtId="184" fontId="3" fillId="0" borderId="0" applyFill="0" applyBorder="0" applyAlignment="0"/>
    <xf numFmtId="185" fontId="27" fillId="0" borderId="0" applyFill="0" applyBorder="0" applyAlignment="0"/>
    <xf numFmtId="209" fontId="27" fillId="0" borderId="0" applyFill="0" applyBorder="0" applyAlignment="0"/>
    <xf numFmtId="180" fontId="3" fillId="0" borderId="0" applyFill="0" applyBorder="0" applyAlignment="0"/>
    <xf numFmtId="0" fontId="151" fillId="0" borderId="18" applyNumberFormat="0" applyFill="0" applyAlignment="0" applyProtection="0"/>
    <xf numFmtId="0" fontId="133" fillId="0" borderId="18" applyNumberFormat="0" applyFill="0" applyAlignment="0" applyProtection="0"/>
    <xf numFmtId="38" fontId="51" fillId="0" borderId="0" applyFont="0" applyFill="0" applyBorder="0" applyAlignment="0" applyProtection="0"/>
    <xf numFmtId="0" fontId="152" fillId="12" borderId="0" applyNumberFormat="0" applyBorder="0" applyAlignment="0" applyProtection="0"/>
    <xf numFmtId="0" fontId="134" fillId="12" borderId="0" applyNumberFormat="0" applyBorder="0" applyAlignment="0" applyProtection="0"/>
    <xf numFmtId="0" fontId="22" fillId="28" borderId="0">
      <alignment horizontal="left" indent="1"/>
    </xf>
    <xf numFmtId="197" fontId="3" fillId="0" borderId="0"/>
    <xf numFmtId="213" fontId="140" fillId="0" borderId="0"/>
    <xf numFmtId="0" fontId="52" fillId="0" borderId="0"/>
    <xf numFmtId="0" fontId="35" fillId="0" borderId="0" applyNumberFormat="0" applyAlignment="0">
      <alignment horizontal="center"/>
    </xf>
    <xf numFmtId="0" fontId="3" fillId="0" borderId="0"/>
    <xf numFmtId="0" fontId="3" fillId="0" borderId="0"/>
    <xf numFmtId="0" fontId="166" fillId="0" borderId="0"/>
    <xf numFmtId="0" fontId="3" fillId="0" borderId="0"/>
    <xf numFmtId="0" fontId="3" fillId="0" borderId="0"/>
    <xf numFmtId="0" fontId="3" fillId="0" borderId="0"/>
    <xf numFmtId="0" fontId="164" fillId="0" borderId="0"/>
    <xf numFmtId="0" fontId="164" fillId="0" borderId="0"/>
    <xf numFmtId="0" fontId="3" fillId="0" borderId="0"/>
    <xf numFmtId="0" fontId="3" fillId="0" borderId="0"/>
    <xf numFmtId="0" fontId="1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6" fillId="0" borderId="0"/>
    <xf numFmtId="0" fontId="164" fillId="0" borderId="0"/>
    <xf numFmtId="0" fontId="164" fillId="0" borderId="0"/>
    <xf numFmtId="0" fontId="3" fillId="0" borderId="0"/>
    <xf numFmtId="0" fontId="3" fillId="0" borderId="0"/>
    <xf numFmtId="0" fontId="3" fillId="0" borderId="0"/>
    <xf numFmtId="0" fontId="3" fillId="0" borderId="0"/>
    <xf numFmtId="0" fontId="34" fillId="0" borderId="0"/>
    <xf numFmtId="0" fontId="166" fillId="0" borderId="0"/>
    <xf numFmtId="0" fontId="164" fillId="0" borderId="0"/>
    <xf numFmtId="0" fontId="164" fillId="0" borderId="0"/>
    <xf numFmtId="0" fontId="3" fillId="0" borderId="0"/>
    <xf numFmtId="0" fontId="3" fillId="0" borderId="0"/>
    <xf numFmtId="0" fontId="3" fillId="0" borderId="0" applyNumberFormat="0" applyFont="0" applyFill="0" applyBorder="0" applyAlignment="0" applyProtection="0">
      <alignment vertical="top"/>
    </xf>
    <xf numFmtId="0" fontId="166" fillId="0" borderId="0"/>
    <xf numFmtId="0" fontId="166" fillId="0" borderId="0"/>
    <xf numFmtId="0" fontId="3" fillId="0" borderId="0" applyNumberFormat="0" applyFont="0" applyFill="0" applyBorder="0" applyAlignment="0" applyProtection="0">
      <alignment vertical="top"/>
    </xf>
    <xf numFmtId="0" fontId="164" fillId="0" borderId="0"/>
    <xf numFmtId="0" fontId="164" fillId="0" borderId="0"/>
    <xf numFmtId="0" fontId="3" fillId="0" borderId="0"/>
    <xf numFmtId="0" fontId="3" fillId="0" borderId="0" applyNumberFormat="0" applyFont="0" applyFill="0" applyBorder="0" applyAlignment="0" applyProtection="0">
      <alignment vertical="top"/>
    </xf>
    <xf numFmtId="0" fontId="166" fillId="0" borderId="0"/>
    <xf numFmtId="0" fontId="164" fillId="0" borderId="0"/>
    <xf numFmtId="0" fontId="164" fillId="0" borderId="0"/>
    <xf numFmtId="0" fontId="3" fillId="0" borderId="0"/>
    <xf numFmtId="0" fontId="3" fillId="0" borderId="0"/>
    <xf numFmtId="0" fontId="166" fillId="0" borderId="0"/>
    <xf numFmtId="0" fontId="164" fillId="0" borderId="0"/>
    <xf numFmtId="0" fontId="164" fillId="0" borderId="0"/>
    <xf numFmtId="0" fontId="3"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3" fillId="0" borderId="0"/>
    <xf numFmtId="0" fontId="164" fillId="0" borderId="0"/>
    <xf numFmtId="0" fontId="164" fillId="0" borderId="0"/>
    <xf numFmtId="0" fontId="3" fillId="0" borderId="0"/>
    <xf numFmtId="0" fontId="164" fillId="0" borderId="0"/>
    <xf numFmtId="0" fontId="164" fillId="0" borderId="0"/>
    <xf numFmtId="0" fontId="23" fillId="0" borderId="0"/>
    <xf numFmtId="0" fontId="51" fillId="0" borderId="0"/>
    <xf numFmtId="0" fontId="3" fillId="0" borderId="0"/>
    <xf numFmtId="0" fontId="3" fillId="0" borderId="0"/>
    <xf numFmtId="0" fontId="3" fillId="0" borderId="0"/>
    <xf numFmtId="0" fontId="3"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23" fillId="0" borderId="0"/>
    <xf numFmtId="0" fontId="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3" fillId="0" borderId="0"/>
    <xf numFmtId="0" fontId="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2" fillId="0" borderId="0"/>
    <xf numFmtId="0" fontId="3" fillId="0" borderId="0"/>
    <xf numFmtId="0" fontId="3" fillId="0" borderId="0"/>
    <xf numFmtId="0" fontId="3"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3" fillId="0" borderId="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2" fillId="0" borderId="0"/>
    <xf numFmtId="0" fontId="164" fillId="0" borderId="0"/>
    <xf numFmtId="0" fontId="164" fillId="0" borderId="0"/>
    <xf numFmtId="0" fontId="2" fillId="0" borderId="0"/>
    <xf numFmtId="0" fontId="51" fillId="0" borderId="0"/>
    <xf numFmtId="0" fontId="51" fillId="0" borderId="0"/>
    <xf numFmtId="194" fontId="3" fillId="0" borderId="0"/>
    <xf numFmtId="0" fontId="3"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166"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3"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3"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3"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3" fillId="0" borderId="0"/>
    <xf numFmtId="0" fontId="164" fillId="0" borderId="0"/>
    <xf numFmtId="0" fontId="164" fillId="0" borderId="0"/>
    <xf numFmtId="0" fontId="164" fillId="0" borderId="0"/>
    <xf numFmtId="0" fontId="164" fillId="0" borderId="0"/>
    <xf numFmtId="0" fontId="3" fillId="0" borderId="0"/>
    <xf numFmtId="0" fontId="3"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3" fillId="0" borderId="0"/>
    <xf numFmtId="0" fontId="16" fillId="0" borderId="0"/>
    <xf numFmtId="0" fontId="16" fillId="0" borderId="0"/>
    <xf numFmtId="0" fontId="3" fillId="0" borderId="0">
      <alignment vertical="top"/>
    </xf>
    <xf numFmtId="0" fontId="3" fillId="0" borderId="0"/>
    <xf numFmtId="0" fontId="23" fillId="0" borderId="0"/>
    <xf numFmtId="0" fontId="2" fillId="0" borderId="0"/>
    <xf numFmtId="0" fontId="2" fillId="0" borderId="0"/>
    <xf numFmtId="0" fontId="2" fillId="0" borderId="0"/>
    <xf numFmtId="0" fontId="2" fillId="0" borderId="0"/>
    <xf numFmtId="0" fontId="16" fillId="0" borderId="0"/>
    <xf numFmtId="0" fontId="3" fillId="0" borderId="0"/>
    <xf numFmtId="0" fontId="3" fillId="0" borderId="0"/>
    <xf numFmtId="0" fontId="16" fillId="0" borderId="0"/>
    <xf numFmtId="0" fontId="16" fillId="0" borderId="0"/>
    <xf numFmtId="0" fontId="16" fillId="0" borderId="0"/>
    <xf numFmtId="0" fontId="16" fillId="0" borderId="0"/>
    <xf numFmtId="0" fontId="16" fillId="0" borderId="0"/>
    <xf numFmtId="0" fontId="16" fillId="0" borderId="0"/>
    <xf numFmtId="0" fontId="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3" fillId="0" borderId="0">
      <alignment vertical="top"/>
    </xf>
    <xf numFmtId="0" fontId="164" fillId="0" borderId="0"/>
    <xf numFmtId="0" fontId="164" fillId="0" borderId="0"/>
    <xf numFmtId="0" fontId="164" fillId="0" borderId="0"/>
    <xf numFmtId="0" fontId="2" fillId="0" borderId="0"/>
    <xf numFmtId="0" fontId="3" fillId="0" borderId="0"/>
    <xf numFmtId="0" fontId="53" fillId="0" borderId="0"/>
    <xf numFmtId="0" fontId="23"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3" fillId="0" borderId="0"/>
    <xf numFmtId="0" fontId="3" fillId="0" borderId="0"/>
    <xf numFmtId="0" fontId="3" fillId="0" borderId="0"/>
    <xf numFmtId="0" fontId="167" fillId="0" borderId="0"/>
    <xf numFmtId="0" fontId="5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53" fillId="0" borderId="0"/>
    <xf numFmtId="0" fontId="164" fillId="0" borderId="0"/>
    <xf numFmtId="0" fontId="164" fillId="0" borderId="0"/>
    <xf numFmtId="0" fontId="53" fillId="0" borderId="0"/>
    <xf numFmtId="0" fontId="53" fillId="0" borderId="0"/>
    <xf numFmtId="0" fontId="167" fillId="0" borderId="0"/>
    <xf numFmtId="0" fontId="164" fillId="0" borderId="0"/>
    <xf numFmtId="0" fontId="164" fillId="0" borderId="0"/>
    <xf numFmtId="0" fontId="164"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4" fillId="0" borderId="0"/>
    <xf numFmtId="0" fontId="164" fillId="0" borderId="0"/>
    <xf numFmtId="0" fontId="3" fillId="0" borderId="0"/>
    <xf numFmtId="0" fontId="3" fillId="0" borderId="0"/>
    <xf numFmtId="0" fontId="164" fillId="0" borderId="0"/>
    <xf numFmtId="0" fontId="164" fillId="0" borderId="0"/>
    <xf numFmtId="0" fontId="164" fillId="0" borderId="0"/>
    <xf numFmtId="0" fontId="3" fillId="0" borderId="0"/>
    <xf numFmtId="0" fontId="27" fillId="0" borderId="0"/>
    <xf numFmtId="0" fontId="164" fillId="0" borderId="0"/>
    <xf numFmtId="0" fontId="164" fillId="0" borderId="0"/>
    <xf numFmtId="0" fontId="3" fillId="0" borderId="0"/>
    <xf numFmtId="0" fontId="164" fillId="0" borderId="0"/>
    <xf numFmtId="0" fontId="164" fillId="0" borderId="0"/>
    <xf numFmtId="0" fontId="166" fillId="0" borderId="0"/>
    <xf numFmtId="0" fontId="164"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3" fillId="0" borderId="0" applyProtection="0"/>
    <xf numFmtId="0" fontId="3" fillId="0" borderId="0"/>
    <xf numFmtId="0" fontId="164" fillId="0" borderId="0"/>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164" fillId="0" borderId="0"/>
    <xf numFmtId="0" fontId="3" fillId="0" borderId="0">
      <alignment vertical="top"/>
    </xf>
    <xf numFmtId="0" fontId="164" fillId="0" borderId="0"/>
    <xf numFmtId="0" fontId="164" fillId="0" borderId="0"/>
    <xf numFmtId="0" fontId="164" fillId="0" borderId="0"/>
    <xf numFmtId="0" fontId="3" fillId="0" borderId="0"/>
    <xf numFmtId="0" fontId="164" fillId="0" borderId="0"/>
    <xf numFmtId="0" fontId="164" fillId="0" borderId="0"/>
    <xf numFmtId="0" fontId="1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4" fillId="0" borderId="0"/>
    <xf numFmtId="0" fontId="3" fillId="0" borderId="0"/>
    <xf numFmtId="0" fontId="166" fillId="0" borderId="0"/>
    <xf numFmtId="0" fontId="164" fillId="0" borderId="0"/>
    <xf numFmtId="0" fontId="164" fillId="0" borderId="0"/>
    <xf numFmtId="0" fontId="3" fillId="0" borderId="0"/>
    <xf numFmtId="0" fontId="164" fillId="0" borderId="0"/>
    <xf numFmtId="0" fontId="1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xf numFmtId="0" fontId="3" fillId="0" borderId="0"/>
    <xf numFmtId="0" fontId="166" fillId="0" borderId="0"/>
    <xf numFmtId="0" fontId="37" fillId="0" borderId="0"/>
    <xf numFmtId="0" fontId="37" fillId="0" borderId="0"/>
    <xf numFmtId="0" fontId="164" fillId="0" borderId="0"/>
    <xf numFmtId="0" fontId="1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6" fillId="0" borderId="0"/>
    <xf numFmtId="0" fontId="164" fillId="0" borderId="0"/>
    <xf numFmtId="0" fontId="3" fillId="0" borderId="0"/>
    <xf numFmtId="0" fontId="164" fillId="0" borderId="0"/>
    <xf numFmtId="0" fontId="1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7" fillId="0" borderId="0"/>
    <xf numFmtId="4" fontId="55" fillId="0" borderId="0"/>
    <xf numFmtId="0" fontId="35" fillId="0" borderId="17" applyAlignment="0" applyProtection="0">
      <alignment horizontal="center"/>
    </xf>
    <xf numFmtId="0" fontId="40" fillId="0" borderId="0" applyFill="0" applyAlignment="0" applyProtection="0"/>
    <xf numFmtId="0" fontId="51" fillId="0" borderId="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2"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2" fillId="6" borderId="19" applyNumberFormat="0" applyFont="0" applyAlignment="0" applyProtection="0"/>
    <xf numFmtId="0" fontId="2" fillId="6" borderId="19" applyNumberFormat="0" applyFont="0" applyAlignment="0" applyProtection="0"/>
    <xf numFmtId="0" fontId="2" fillId="6" borderId="19" applyNumberFormat="0" applyFont="0" applyAlignment="0" applyProtection="0"/>
    <xf numFmtId="0" fontId="2" fillId="6" borderId="19" applyNumberFormat="0" applyFont="0" applyAlignment="0" applyProtection="0"/>
    <xf numFmtId="0" fontId="2" fillId="6" borderId="19" applyNumberFormat="0" applyFont="0" applyAlignment="0" applyProtection="0"/>
    <xf numFmtId="0" fontId="2"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0" fontId="3" fillId="6" borderId="19" applyNumberFormat="0" applyFont="0" applyAlignment="0" applyProtection="0"/>
    <xf numFmtId="40" fontId="92" fillId="0" borderId="0" applyFont="0" applyFill="0" applyBorder="0" applyAlignment="0" applyProtection="0"/>
    <xf numFmtId="38" fontId="92" fillId="0" borderId="0" applyFont="0" applyFill="0" applyBorder="0" applyAlignment="0" applyProtection="0"/>
    <xf numFmtId="0" fontId="153"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53" fillId="10" borderId="20" applyNumberFormat="0" applyAlignment="0" applyProtection="0"/>
    <xf numFmtId="0" fontId="153" fillId="10" borderId="20" applyNumberFormat="0" applyAlignment="0" applyProtection="0"/>
    <xf numFmtId="0" fontId="153" fillId="10" borderId="20" applyNumberFormat="0" applyAlignment="0" applyProtection="0"/>
    <xf numFmtId="0" fontId="153" fillId="10" borderId="20" applyNumberFormat="0" applyAlignment="0" applyProtection="0"/>
    <xf numFmtId="0" fontId="153" fillId="10" borderId="20" applyNumberFormat="0" applyAlignment="0" applyProtection="0"/>
    <xf numFmtId="0" fontId="153"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0" fontId="135" fillId="10" borderId="20" applyNumberFormat="0" applyAlignment="0" applyProtection="0"/>
    <xf numFmtId="14" fontId="30" fillId="0" borderId="0">
      <alignment horizontal="center" wrapText="1"/>
      <protection locked="0"/>
    </xf>
    <xf numFmtId="9" fontId="3" fillId="0" borderId="0" applyFont="0" applyFill="0" applyBorder="0" applyAlignment="0" applyProtection="0"/>
    <xf numFmtId="183" fontId="3" fillId="0" borderId="0" applyFont="0" applyFill="0" applyBorder="0" applyAlignment="0" applyProtection="0"/>
    <xf numFmtId="198" fontId="3" fillId="0" borderId="0" applyFont="0" applyFill="0" applyBorder="0" applyAlignment="0" applyProtection="0"/>
    <xf numFmtId="198" fontId="3" fillId="0" borderId="0" applyFont="0" applyFill="0" applyBorder="0" applyAlignment="0" applyProtection="0"/>
    <xf numFmtId="10" fontId="3" fillId="0" borderId="0" applyFont="0" applyFill="0" applyBorder="0" applyAlignment="0" applyProtection="0"/>
    <xf numFmtId="9" fontId="12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138"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1" fillId="0" borderId="0" applyFont="0" applyFill="0" applyBorder="0" applyAlignment="0" applyProtection="0"/>
    <xf numFmtId="9" fontId="53"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 fillId="0" borderId="0" applyFont="0" applyFill="0" applyBorder="0" applyAlignment="0" applyProtection="0"/>
    <xf numFmtId="9" fontId="37" fillId="0" borderId="0" applyFont="0" applyFill="0" applyBorder="0" applyAlignment="0" applyProtection="0"/>
    <xf numFmtId="9" fontId="120" fillId="0" borderId="0" applyFont="0" applyFill="0" applyBorder="0" applyAlignment="0" applyProtection="0"/>
    <xf numFmtId="9" fontId="3" fillId="0" borderId="0" applyFont="0" applyFill="0" applyBorder="0" applyAlignment="0" applyProtection="0"/>
    <xf numFmtId="184" fontId="3" fillId="0" borderId="0" applyFill="0" applyBorder="0" applyAlignment="0"/>
    <xf numFmtId="180" fontId="3" fillId="0" borderId="0" applyFill="0" applyBorder="0" applyAlignment="0"/>
    <xf numFmtId="184" fontId="3" fillId="0" borderId="0" applyFill="0" applyBorder="0" applyAlignment="0"/>
    <xf numFmtId="185" fontId="27" fillId="0" borderId="0" applyFill="0" applyBorder="0" applyAlignment="0"/>
    <xf numFmtId="209" fontId="27" fillId="0" borderId="0" applyFill="0" applyBorder="0" applyAlignment="0"/>
    <xf numFmtId="180" fontId="3" fillId="0" borderId="0" applyFill="0" applyBorder="0" applyAlignment="0"/>
    <xf numFmtId="4" fontId="3" fillId="0" borderId="0"/>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24" fillId="26" borderId="0">
      <alignment horizontal="left" indent="1"/>
    </xf>
    <xf numFmtId="10" fontId="57" fillId="0" borderId="21" applyAlignment="0" applyProtection="0"/>
    <xf numFmtId="0" fontId="56" fillId="35" borderId="0" applyNumberFormat="0" applyFont="0" applyBorder="0" applyAlignment="0">
      <alignment horizontal="center"/>
    </xf>
    <xf numFmtId="14" fontId="57" fillId="0" borderId="0" applyNumberFormat="0" applyFill="0" applyBorder="0" applyAlignment="0" applyProtection="0">
      <alignment horizontal="left"/>
    </xf>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8" fillId="0" borderId="22"/>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6" fillId="1" borderId="4" applyNumberFormat="0" applyFont="0" applyAlignment="0">
      <alignment horizontal="center"/>
    </xf>
    <xf numFmtId="0" fontId="59" fillId="0" borderId="0" applyNumberFormat="0" applyFill="0" applyBorder="0" applyAlignment="0">
      <alignment horizontal="center"/>
    </xf>
    <xf numFmtId="0" fontId="3" fillId="0" borderId="0"/>
    <xf numFmtId="0" fontId="6" fillId="0" borderId="0">
      <alignment vertical="top"/>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60" fillId="34" borderId="1" applyFill="0" applyProtection="0">
      <alignment horizontal="left" vertical="center" indent="1"/>
    </xf>
    <xf numFmtId="0" fontId="28" fillId="0" borderId="23"/>
    <xf numFmtId="40" fontId="61" fillId="0" borderId="0" applyBorder="0">
      <alignment horizontal="right"/>
    </xf>
    <xf numFmtId="3" fontId="25" fillId="0" borderId="0" applyBorder="0"/>
    <xf numFmtId="0" fontId="62" fillId="0" borderId="0" applyBorder="0">
      <alignment horizontal="right"/>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11" fillId="34" borderId="1" applyNumberFormat="0" applyFont="0" applyBorder="0" applyAlignment="0">
      <alignment horizontal="left" indent="1"/>
    </xf>
    <xf numFmtId="0" fontId="26" fillId="26" borderId="0" applyBorder="0">
      <alignment horizontal="left" vertical="center" indent="1"/>
    </xf>
    <xf numFmtId="194" fontId="62" fillId="0" borderId="24" applyNumberFormat="0" applyBorder="0">
      <alignment horizontal="left"/>
    </xf>
    <xf numFmtId="49" fontId="6" fillId="0" borderId="0" applyFill="0" applyBorder="0" applyAlignment="0"/>
    <xf numFmtId="199" fontId="27" fillId="0" borderId="0" applyFill="0" applyBorder="0" applyAlignment="0"/>
    <xf numFmtId="214" fontId="27" fillId="0" borderId="0" applyFill="0" applyBorder="0" applyAlignment="0"/>
    <xf numFmtId="200" fontId="27" fillId="0" borderId="0" applyFill="0" applyBorder="0" applyAlignment="0"/>
    <xf numFmtId="215" fontId="27" fillId="0" borderId="0" applyFill="0" applyBorder="0" applyAlignment="0"/>
    <xf numFmtId="0" fontId="3" fillId="0" borderId="0"/>
    <xf numFmtId="0" fontId="154" fillId="0" borderId="0" applyNumberFormat="0" applyFill="0" applyBorder="0" applyAlignment="0" applyProtection="0"/>
    <xf numFmtId="0" fontId="160" fillId="0" borderId="0" applyNumberFormat="0" applyFill="0" applyBorder="0" applyAlignment="0" applyProtection="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194" fontId="50" fillId="0" borderId="1" applyNumberFormat="0"/>
    <xf numFmtId="0" fontId="155"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136" fillId="0" borderId="25" applyNumberFormat="0" applyFill="0" applyAlignment="0" applyProtection="0"/>
    <xf numFmtId="0" fontId="43" fillId="0" borderId="9">
      <alignment horizontal="centerContinuous" vertical="center" wrapText="1"/>
    </xf>
    <xf numFmtId="0" fontId="43" fillId="0" borderId="9">
      <alignment horizontal="centerContinuous" vertical="center" wrapText="1"/>
    </xf>
    <xf numFmtId="194" fontId="62" fillId="0" borderId="8" applyNumberFormat="0" applyBorder="0">
      <alignment horizontal="right"/>
    </xf>
    <xf numFmtId="194" fontId="62" fillId="0" borderId="8" applyNumberFormat="0" applyBorder="0">
      <alignment horizontal="right"/>
    </xf>
    <xf numFmtId="167" fontId="51" fillId="0" borderId="0" applyFont="0" applyFill="0" applyBorder="0" applyAlignment="0" applyProtection="0"/>
    <xf numFmtId="206" fontId="3" fillId="0" borderId="0" applyFont="0" applyFill="0" applyBorder="0" applyAlignment="0" applyProtection="0"/>
    <xf numFmtId="207" fontId="3" fillId="0" borderId="0" applyFont="0" applyFill="0" applyBorder="0" applyAlignment="0" applyProtection="0"/>
    <xf numFmtId="0" fontId="156" fillId="0" borderId="0" applyNumberFormat="0" applyFill="0" applyBorder="0" applyAlignment="0" applyProtection="0"/>
    <xf numFmtId="0" fontId="137" fillId="0" borderId="0" applyNumberFormat="0" applyFill="0" applyBorder="0" applyAlignment="0" applyProtection="0"/>
    <xf numFmtId="0" fontId="3" fillId="0" borderId="0"/>
    <xf numFmtId="201" fontId="63" fillId="0" borderId="0" applyFont="0" applyFill="0" applyBorder="0" applyAlignment="0" applyProtection="0"/>
    <xf numFmtId="202" fontId="63" fillId="0" borderId="0" applyFont="0" applyFill="0" applyBorder="0" applyAlignment="0" applyProtection="0"/>
    <xf numFmtId="0" fontId="1" fillId="0" borderId="0"/>
  </cellStyleXfs>
  <cellXfs count="1109">
    <xf numFmtId="0" fontId="0" fillId="0" borderId="0" xfId="0"/>
    <xf numFmtId="170" fontId="5" fillId="0" borderId="26" xfId="649" applyNumberFormat="1" applyFont="1" applyBorder="1" applyAlignment="1" applyProtection="1">
      <alignment horizontal="centerContinuous"/>
      <protection locked="0"/>
    </xf>
    <xf numFmtId="170" fontId="5" fillId="0" borderId="26" xfId="649" applyNumberFormat="1" applyFont="1" applyBorder="1" applyAlignment="1" applyProtection="1">
      <alignment horizontal="center"/>
      <protection locked="0"/>
    </xf>
    <xf numFmtId="170" fontId="5" fillId="0" borderId="27" xfId="649" applyNumberFormat="1" applyFont="1" applyBorder="1" applyAlignment="1" applyProtection="1">
      <alignment horizontal="centerContinuous"/>
      <protection locked="0"/>
    </xf>
    <xf numFmtId="0" fontId="11" fillId="0" borderId="0" xfId="0" applyFont="1" applyAlignment="1" applyProtection="1">
      <alignment horizontal="right"/>
      <protection locked="0"/>
    </xf>
    <xf numFmtId="0" fontId="11" fillId="0" borderId="0" xfId="0" applyFont="1" applyAlignment="1" applyProtection="1">
      <alignment horizontal="left"/>
      <protection locked="0"/>
    </xf>
    <xf numFmtId="0" fontId="11" fillId="0" borderId="0" xfId="0" quotePrefix="1" applyFont="1" applyAlignment="1" applyProtection="1">
      <alignment horizontal="left"/>
      <protection locked="0"/>
    </xf>
    <xf numFmtId="0" fontId="11" fillId="0" borderId="28" xfId="0" quotePrefix="1" applyFont="1" applyBorder="1" applyAlignment="1" applyProtection="1">
      <alignment horizontal="left"/>
      <protection locked="0"/>
    </xf>
    <xf numFmtId="14" fontId="11" fillId="0" borderId="28" xfId="0" applyNumberFormat="1" applyFont="1" applyBorder="1" applyProtection="1">
      <protection locked="0"/>
    </xf>
    <xf numFmtId="14" fontId="11" fillId="0" borderId="0" xfId="0" applyNumberFormat="1" applyFont="1" applyProtection="1">
      <protection locked="0"/>
    </xf>
    <xf numFmtId="175" fontId="7" fillId="0" borderId="0" xfId="0" applyNumberFormat="1" applyFont="1" applyAlignment="1" applyProtection="1">
      <alignment horizontal="center"/>
      <protection locked="0"/>
    </xf>
    <xf numFmtId="0" fontId="11" fillId="0" borderId="28" xfId="0" applyFont="1" applyBorder="1" applyAlignment="1" applyProtection="1">
      <alignment horizontal="center"/>
      <protection locked="0"/>
    </xf>
    <xf numFmtId="0" fontId="4" fillId="0" borderId="0" xfId="0" applyFont="1" applyAlignment="1" applyProtection="1">
      <alignment horizontal="center"/>
      <protection locked="0"/>
    </xf>
    <xf numFmtId="0" fontId="11" fillId="0" borderId="0" xfId="0" applyFont="1" applyAlignment="1" applyProtection="1">
      <alignment horizontal="center"/>
      <protection locked="0"/>
    </xf>
    <xf numFmtId="10" fontId="7" fillId="0" borderId="32" xfId="1582" applyNumberFormat="1" applyFont="1" applyBorder="1" applyAlignment="1" applyProtection="1">
      <alignment horizontal="center" vertical="center" wrapText="1"/>
      <protection locked="0"/>
    </xf>
    <xf numFmtId="0" fontId="3" fillId="0" borderId="0" xfId="0" applyFont="1" applyAlignment="1" applyProtection="1">
      <alignment horizontal="center"/>
      <protection locked="0"/>
    </xf>
    <xf numFmtId="0" fontId="3" fillId="0" borderId="0" xfId="0" applyFont="1" applyProtection="1">
      <protection locked="0"/>
    </xf>
    <xf numFmtId="175" fontId="95" fillId="0" borderId="0" xfId="0" applyNumberFormat="1" applyFont="1" applyAlignment="1" applyProtection="1">
      <alignment horizontal="center"/>
      <protection locked="0"/>
    </xf>
    <xf numFmtId="10" fontId="10" fillId="0" borderId="0" xfId="1582" applyNumberFormat="1" applyFont="1" applyFill="1" applyBorder="1" applyAlignment="1" applyProtection="1">
      <alignment horizontal="center"/>
      <protection locked="0"/>
    </xf>
    <xf numFmtId="175" fontId="11" fillId="0" borderId="0" xfId="0" applyNumberFormat="1" applyFont="1" applyAlignment="1" applyProtection="1">
      <alignment horizontal="left"/>
      <protection locked="0"/>
    </xf>
    <xf numFmtId="0" fontId="7" fillId="0" borderId="30" xfId="0" applyFont="1" applyBorder="1" applyProtection="1">
      <protection locked="0"/>
    </xf>
    <xf numFmtId="0" fontId="7" fillId="0" borderId="26" xfId="0" applyFont="1" applyBorder="1" applyAlignment="1" applyProtection="1">
      <alignment horizontal="center"/>
      <protection locked="0"/>
    </xf>
    <xf numFmtId="175" fontId="7" fillId="0" borderId="33" xfId="0" applyNumberFormat="1" applyFont="1" applyBorder="1" applyAlignment="1" applyProtection="1">
      <alignment horizontal="center"/>
      <protection locked="0"/>
    </xf>
    <xf numFmtId="2" fontId="7" fillId="0" borderId="26" xfId="0" applyNumberFormat="1" applyFont="1" applyBorder="1" applyAlignment="1" applyProtection="1">
      <alignment horizontal="center"/>
      <protection locked="0"/>
    </xf>
    <xf numFmtId="0" fontId="8" fillId="0" borderId="0" xfId="0" applyFont="1" applyAlignment="1" applyProtection="1">
      <alignment vertical="center"/>
      <protection locked="0"/>
    </xf>
    <xf numFmtId="0" fontId="8" fillId="0" borderId="28" xfId="0" applyFont="1" applyBorder="1" applyAlignment="1" applyProtection="1">
      <alignment vertical="center"/>
      <protection locked="0"/>
    </xf>
    <xf numFmtId="0" fontId="12" fillId="0" borderId="0" xfId="0" applyFont="1" applyAlignment="1" applyProtection="1">
      <alignment vertical="center"/>
      <protection locked="0"/>
    </xf>
    <xf numFmtId="0" fontId="12" fillId="0" borderId="28" xfId="0" applyFont="1" applyBorder="1" applyAlignment="1" applyProtection="1">
      <alignment vertical="center"/>
      <protection locked="0"/>
    </xf>
    <xf numFmtId="176" fontId="96" fillId="0" borderId="0" xfId="0" quotePrefix="1" applyNumberFormat="1" applyFont="1" applyAlignment="1">
      <alignment horizontal="center" vertical="center"/>
    </xf>
    <xf numFmtId="176" fontId="95" fillId="0" borderId="0" xfId="0" applyNumberFormat="1" applyFont="1" applyAlignment="1" applyProtection="1">
      <alignment horizontal="center"/>
      <protection locked="0"/>
    </xf>
    <xf numFmtId="10" fontId="96" fillId="0" borderId="37" xfId="1582" applyNumberFormat="1" applyFont="1" applyBorder="1" applyAlignment="1" applyProtection="1">
      <alignment horizontal="center" vertical="center"/>
      <protection locked="0"/>
    </xf>
    <xf numFmtId="175" fontId="7" fillId="0" borderId="28" xfId="0" applyNumberFormat="1" applyFont="1" applyBorder="1" applyAlignment="1" applyProtection="1">
      <alignment horizontal="center"/>
      <protection locked="0"/>
    </xf>
    <xf numFmtId="175" fontId="11" fillId="0" borderId="0" xfId="0" applyNumberFormat="1" applyFont="1" applyProtection="1">
      <protection locked="0"/>
    </xf>
    <xf numFmtId="0" fontId="15" fillId="0" borderId="0" xfId="0" applyFont="1" applyAlignment="1">
      <alignment vertical="center" wrapText="1"/>
    </xf>
    <xf numFmtId="0" fontId="3" fillId="0" borderId="0" xfId="0" applyFont="1" applyAlignment="1">
      <alignment vertical="center"/>
    </xf>
    <xf numFmtId="0" fontId="28" fillId="0" borderId="0" xfId="0" applyFont="1" applyAlignment="1">
      <alignment vertical="center" wrapText="1"/>
    </xf>
    <xf numFmtId="0" fontId="66" fillId="0" borderId="40" xfId="0" applyFont="1" applyBorder="1" applyAlignment="1">
      <alignment horizontal="left" vertical="center"/>
    </xf>
    <xf numFmtId="0" fontId="67" fillId="0" borderId="41" xfId="0" applyFont="1" applyBorder="1" applyAlignment="1">
      <alignment vertical="center" wrapText="1"/>
    </xf>
    <xf numFmtId="0" fontId="66" fillId="0" borderId="40" xfId="0" applyFont="1" applyBorder="1" applyAlignment="1">
      <alignment vertical="center"/>
    </xf>
    <xf numFmtId="0" fontId="67" fillId="0" borderId="42" xfId="0" applyFont="1" applyBorder="1" applyAlignment="1">
      <alignment vertical="center" wrapText="1"/>
    </xf>
    <xf numFmtId="0" fontId="67" fillId="0" borderId="24" xfId="0" applyFont="1" applyBorder="1" applyAlignment="1">
      <alignment vertical="center"/>
    </xf>
    <xf numFmtId="0" fontId="67" fillId="0" borderId="9" xfId="0" applyFont="1" applyBorder="1" applyAlignment="1">
      <alignment vertical="center" wrapText="1"/>
    </xf>
    <xf numFmtId="0" fontId="67" fillId="0" borderId="8" xfId="0" applyFont="1" applyBorder="1" applyAlignment="1">
      <alignment vertical="center" wrapText="1"/>
    </xf>
    <xf numFmtId="0" fontId="28" fillId="0" borderId="0" xfId="0" applyFont="1" applyAlignment="1">
      <alignment vertical="top" wrapText="1"/>
    </xf>
    <xf numFmtId="0" fontId="3" fillId="0" borderId="0" xfId="0" applyFont="1" applyAlignment="1">
      <alignment vertical="top"/>
    </xf>
    <xf numFmtId="0" fontId="66" fillId="0" borderId="41" xfId="0" applyFont="1" applyBorder="1" applyAlignment="1">
      <alignment vertical="center"/>
    </xf>
    <xf numFmtId="0" fontId="66" fillId="0" borderId="42" xfId="0" applyFont="1" applyBorder="1" applyAlignment="1">
      <alignment vertical="center"/>
    </xf>
    <xf numFmtId="0" fontId="66" fillId="0" borderId="9" xfId="0" applyFont="1" applyBorder="1" applyAlignment="1">
      <alignment vertical="center"/>
    </xf>
    <xf numFmtId="0" fontId="66" fillId="0" borderId="8" xfId="0" applyFont="1" applyBorder="1" applyAlignment="1">
      <alignment vertical="center"/>
    </xf>
    <xf numFmtId="0" fontId="64" fillId="36" borderId="1" xfId="0" applyFont="1" applyFill="1" applyBorder="1" applyAlignment="1">
      <alignment vertical="center" wrapText="1"/>
    </xf>
    <xf numFmtId="0" fontId="64" fillId="36" borderId="4" xfId="0" applyFont="1" applyFill="1" applyBorder="1" applyAlignment="1">
      <alignment vertical="center" wrapText="1"/>
    </xf>
    <xf numFmtId="0" fontId="69" fillId="36" borderId="4" xfId="0" applyFont="1" applyFill="1" applyBorder="1" applyAlignment="1">
      <alignment vertical="center" wrapText="1"/>
    </xf>
    <xf numFmtId="0" fontId="70" fillId="0" borderId="10" xfId="0" applyFont="1" applyBorder="1" applyAlignment="1">
      <alignment vertical="center" wrapText="1"/>
    </xf>
    <xf numFmtId="0" fontId="70" fillId="0" borderId="0" xfId="0" applyFont="1" applyAlignment="1">
      <alignment vertical="center" wrapText="1"/>
    </xf>
    <xf numFmtId="0" fontId="70" fillId="0" borderId="21" xfId="0" applyFont="1" applyBorder="1" applyAlignment="1">
      <alignment vertical="center" wrapText="1"/>
    </xf>
    <xf numFmtId="0" fontId="71" fillId="0" borderId="10" xfId="0" applyFont="1" applyBorder="1" applyAlignment="1">
      <alignment horizontal="center" vertical="center" wrapText="1"/>
    </xf>
    <xf numFmtId="0" fontId="71" fillId="0" borderId="0" xfId="0" applyFont="1" applyAlignment="1">
      <alignment horizontal="center" vertical="center" wrapText="1"/>
    </xf>
    <xf numFmtId="0" fontId="71" fillId="0" borderId="21" xfId="0" applyFont="1" applyBorder="1" applyAlignment="1">
      <alignment horizontal="center" vertical="center" wrapText="1"/>
    </xf>
    <xf numFmtId="0" fontId="72" fillId="0" borderId="10" xfId="0" applyFont="1" applyBorder="1" applyAlignment="1">
      <alignment horizontal="right" vertical="center" wrapText="1"/>
    </xf>
    <xf numFmtId="0" fontId="72" fillId="0" borderId="0" xfId="0" applyFont="1" applyAlignment="1">
      <alignment horizontal="center" vertical="center" wrapText="1"/>
    </xf>
    <xf numFmtId="0" fontId="72" fillId="0" borderId="0" xfId="0" applyFont="1" applyAlignment="1">
      <alignment vertical="center"/>
    </xf>
    <xf numFmtId="0" fontId="73" fillId="0" borderId="0" xfId="0" applyFont="1" applyAlignment="1">
      <alignment horizontal="right" vertical="center" wrapText="1"/>
    </xf>
    <xf numFmtId="0" fontId="73" fillId="0" borderId="21" xfId="0" applyFont="1" applyBorder="1" applyAlignment="1">
      <alignment horizontal="center" vertical="center" wrapText="1"/>
    </xf>
    <xf numFmtId="0" fontId="73" fillId="0" borderId="10" xfId="0" applyFont="1" applyBorder="1" applyAlignment="1">
      <alignment horizontal="right" vertical="center" wrapText="1"/>
    </xf>
    <xf numFmtId="0" fontId="73" fillId="0" borderId="0" xfId="0" applyFont="1" applyAlignment="1">
      <alignment horizontal="center" vertical="center" wrapText="1"/>
    </xf>
    <xf numFmtId="0" fontId="72" fillId="0" borderId="0" xfId="0" applyFont="1" applyAlignment="1">
      <alignment horizontal="left" vertical="center"/>
    </xf>
    <xf numFmtId="0" fontId="72" fillId="0" borderId="0" xfId="0" applyFont="1" applyAlignment="1">
      <alignment horizontal="center" vertical="center"/>
    </xf>
    <xf numFmtId="0" fontId="73" fillId="0" borderId="10" xfId="0" applyFont="1" applyBorder="1" applyAlignment="1">
      <alignment horizontal="center" vertical="center" wrapText="1"/>
    </xf>
    <xf numFmtId="0" fontId="97" fillId="0" borderId="10" xfId="0" applyFont="1" applyBorder="1" applyAlignment="1">
      <alignment vertical="center" wrapText="1"/>
    </xf>
    <xf numFmtId="0" fontId="97" fillId="0" borderId="0" xfId="0" applyFont="1" applyAlignment="1">
      <alignment vertical="center" wrapText="1"/>
    </xf>
    <xf numFmtId="0" fontId="97" fillId="0" borderId="21" xfId="0" applyFont="1" applyBorder="1" applyAlignment="1">
      <alignment vertical="center" wrapText="1"/>
    </xf>
    <xf numFmtId="0" fontId="74" fillId="0" borderId="10" xfId="0" applyFont="1" applyBorder="1" applyAlignment="1">
      <alignment horizontal="left" vertical="center"/>
    </xf>
    <xf numFmtId="0" fontId="72" fillId="0" borderId="10" xfId="0" applyFont="1" applyBorder="1" applyAlignment="1">
      <alignment vertical="center" wrapText="1"/>
    </xf>
    <xf numFmtId="0" fontId="72" fillId="0" borderId="0" xfId="0" applyFont="1" applyAlignment="1">
      <alignment vertical="center" wrapText="1"/>
    </xf>
    <xf numFmtId="0" fontId="73" fillId="0" borderId="0" xfId="0" applyFont="1" applyAlignment="1">
      <alignment vertical="center" wrapText="1"/>
    </xf>
    <xf numFmtId="0" fontId="73" fillId="0" borderId="21" xfId="0" applyFont="1" applyBorder="1" applyAlignment="1">
      <alignment vertical="center" wrapText="1"/>
    </xf>
    <xf numFmtId="0" fontId="98" fillId="0" borderId="0" xfId="0" applyFont="1" applyAlignment="1">
      <alignment vertical="center" wrapText="1"/>
    </xf>
    <xf numFmtId="0" fontId="73" fillId="0" borderId="10" xfId="0" applyFont="1" applyBorder="1" applyAlignment="1">
      <alignment vertical="center" wrapText="1"/>
    </xf>
    <xf numFmtId="0" fontId="73" fillId="0" borderId="10" xfId="0" applyFont="1" applyBorder="1" applyAlignment="1">
      <alignment vertical="center"/>
    </xf>
    <xf numFmtId="0" fontId="73" fillId="0" borderId="0" xfId="0" applyFont="1" applyAlignment="1">
      <alignment vertical="center"/>
    </xf>
    <xf numFmtId="0" fontId="73" fillId="0" borderId="21" xfId="0" applyFont="1" applyBorder="1" applyAlignment="1">
      <alignment vertical="center"/>
    </xf>
    <xf numFmtId="204" fontId="73" fillId="0" borderId="10" xfId="0" applyNumberFormat="1" applyFont="1" applyBorder="1" applyAlignment="1">
      <alignment vertical="center" wrapText="1"/>
    </xf>
    <xf numFmtId="204" fontId="73" fillId="0" borderId="0" xfId="0" applyNumberFormat="1" applyFont="1" applyAlignment="1">
      <alignment vertical="center" wrapText="1"/>
    </xf>
    <xf numFmtId="204" fontId="73" fillId="0" borderId="21" xfId="0" applyNumberFormat="1" applyFont="1" applyBorder="1" applyAlignment="1">
      <alignment vertical="center" wrapText="1"/>
    </xf>
    <xf numFmtId="0" fontId="97" fillId="0" borderId="0" xfId="0" applyFont="1" applyAlignment="1">
      <alignment wrapText="1"/>
    </xf>
    <xf numFmtId="0" fontId="73" fillId="0" borderId="0" xfId="0" applyFont="1" applyAlignment="1">
      <alignment wrapText="1"/>
    </xf>
    <xf numFmtId="0" fontId="73" fillId="0" borderId="21" xfId="0" applyFont="1" applyBorder="1" applyAlignment="1">
      <alignment wrapText="1"/>
    </xf>
    <xf numFmtId="0" fontId="73" fillId="0" borderId="0" xfId="0" applyFont="1" applyAlignment="1">
      <alignment vertical="top" wrapText="1"/>
    </xf>
    <xf numFmtId="0" fontId="73" fillId="0" borderId="21" xfId="0" applyFont="1" applyBorder="1" applyAlignment="1">
      <alignment vertical="top" wrapText="1"/>
    </xf>
    <xf numFmtId="0" fontId="97" fillId="0" borderId="0" xfId="0" applyFont="1" applyAlignment="1">
      <alignment horizontal="center" vertical="center" wrapText="1"/>
    </xf>
    <xf numFmtId="15" fontId="97" fillId="0" borderId="0" xfId="0" applyNumberFormat="1" applyFont="1" applyAlignment="1">
      <alignment vertical="center" wrapText="1"/>
    </xf>
    <xf numFmtId="0" fontId="3" fillId="0" borderId="10" xfId="0" applyFont="1" applyBorder="1" applyAlignment="1">
      <alignment vertical="center"/>
    </xf>
    <xf numFmtId="0" fontId="3" fillId="0" borderId="21" xfId="0" applyFont="1" applyBorder="1" applyAlignment="1">
      <alignment vertical="center"/>
    </xf>
    <xf numFmtId="0" fontId="3" fillId="0" borderId="24" xfId="0" applyFont="1" applyBorder="1" applyAlignment="1">
      <alignment vertical="center"/>
    </xf>
    <xf numFmtId="0" fontId="3" fillId="0" borderId="9" xfId="0" applyFont="1" applyBorder="1" applyAlignment="1">
      <alignment vertical="center"/>
    </xf>
    <xf numFmtId="0" fontId="3" fillId="0" borderId="8" xfId="0" applyFont="1" applyBorder="1" applyAlignment="1">
      <alignment vertical="center"/>
    </xf>
    <xf numFmtId="10" fontId="3" fillId="0" borderId="0" xfId="0" applyNumberFormat="1" applyFont="1" applyAlignment="1">
      <alignment vertical="center"/>
    </xf>
    <xf numFmtId="9" fontId="3" fillId="0" borderId="0" xfId="0" applyNumberFormat="1" applyFont="1" applyAlignment="1">
      <alignment vertical="center"/>
    </xf>
    <xf numFmtId="0" fontId="73" fillId="0" borderId="41" xfId="0" applyFont="1" applyBorder="1" applyAlignment="1">
      <alignment vertical="center" wrapText="1"/>
    </xf>
    <xf numFmtId="0" fontId="75" fillId="0" borderId="0" xfId="0" applyFont="1" applyAlignment="1">
      <alignment vertical="center"/>
    </xf>
    <xf numFmtId="0" fontId="75" fillId="0" borderId="0" xfId="0" applyFont="1" applyAlignment="1">
      <alignment vertical="center" wrapText="1"/>
    </xf>
    <xf numFmtId="0" fontId="71" fillId="0" borderId="10" xfId="0" applyFont="1" applyBorder="1" applyAlignment="1">
      <alignment vertical="center" wrapText="1"/>
    </xf>
    <xf numFmtId="0" fontId="74" fillId="0" borderId="0" xfId="0" applyFont="1" applyAlignment="1">
      <alignment vertical="center" wrapText="1"/>
    </xf>
    <xf numFmtId="0" fontId="74" fillId="0" borderId="21" xfId="0" applyFont="1" applyBorder="1" applyAlignment="1">
      <alignment vertical="center" wrapText="1"/>
    </xf>
    <xf numFmtId="0" fontId="71" fillId="0" borderId="0" xfId="0" applyFont="1" applyAlignment="1">
      <alignment horizontal="left" vertical="center"/>
    </xf>
    <xf numFmtId="0" fontId="73" fillId="0" borderId="0" xfId="0" applyFont="1" applyAlignment="1">
      <alignment horizontal="left" vertical="center"/>
    </xf>
    <xf numFmtId="0" fontId="98" fillId="0" borderId="10" xfId="0" applyFont="1" applyBorder="1" applyAlignment="1">
      <alignment vertical="center" wrapText="1"/>
    </xf>
    <xf numFmtId="0" fontId="100" fillId="0" borderId="0" xfId="0" applyFont="1" applyAlignment="1">
      <alignment vertical="center" wrapText="1"/>
    </xf>
    <xf numFmtId="0" fontId="76" fillId="0" borderId="0" xfId="0" applyFont="1" applyAlignment="1">
      <alignment horizontal="left" vertical="center"/>
    </xf>
    <xf numFmtId="0" fontId="76" fillId="0" borderId="0" xfId="0" applyFont="1" applyAlignment="1">
      <alignment horizontal="center" vertical="center" wrapText="1"/>
    </xf>
    <xf numFmtId="0" fontId="76" fillId="0" borderId="0" xfId="0" applyFont="1" applyAlignment="1">
      <alignment vertical="center" wrapText="1"/>
    </xf>
    <xf numFmtId="0" fontId="76" fillId="0" borderId="0" xfId="0" applyFont="1" applyAlignment="1">
      <alignment vertical="center"/>
    </xf>
    <xf numFmtId="0" fontId="77" fillId="0" borderId="0" xfId="0" applyFont="1" applyAlignment="1">
      <alignment horizontal="left" vertical="center"/>
    </xf>
    <xf numFmtId="0" fontId="98" fillId="0" borderId="0" xfId="0" applyFont="1" applyAlignment="1">
      <alignment wrapText="1"/>
    </xf>
    <xf numFmtId="0" fontId="73" fillId="0" borderId="0" xfId="0" applyFont="1" applyAlignment="1">
      <alignment horizontal="center" vertical="center"/>
    </xf>
    <xf numFmtId="0" fontId="3" fillId="0" borderId="0" xfId="0" applyFont="1" applyAlignment="1">
      <alignment horizontal="center" vertical="center"/>
    </xf>
    <xf numFmtId="0" fontId="73" fillId="0" borderId="9" xfId="0" applyFont="1" applyBorder="1" applyAlignment="1">
      <alignment horizontal="center" vertical="center" wrapText="1"/>
    </xf>
    <xf numFmtId="0" fontId="65" fillId="0" borderId="0" xfId="0" applyFont="1" applyAlignment="1">
      <alignment vertical="center" wrapText="1"/>
    </xf>
    <xf numFmtId="0" fontId="81" fillId="0" borderId="0" xfId="0" applyFont="1" applyAlignment="1">
      <alignment vertical="center" wrapText="1"/>
    </xf>
    <xf numFmtId="0" fontId="69" fillId="0" borderId="0" xfId="0" applyFont="1" applyAlignment="1">
      <alignment vertical="center"/>
    </xf>
    <xf numFmtId="0" fontId="82" fillId="0" borderId="0" xfId="0" applyFont="1" applyAlignment="1">
      <alignment vertical="center" wrapText="1"/>
    </xf>
    <xf numFmtId="0" fontId="99" fillId="0" borderId="41" xfId="0" applyFont="1" applyBorder="1" applyAlignment="1">
      <alignment vertical="top" wrapText="1"/>
    </xf>
    <xf numFmtId="0" fontId="99" fillId="0" borderId="42" xfId="0" applyFont="1" applyBorder="1" applyAlignment="1">
      <alignment vertical="top" wrapText="1"/>
    </xf>
    <xf numFmtId="0" fontId="69" fillId="0" borderId="41" xfId="0" applyFont="1" applyBorder="1" applyAlignment="1">
      <alignment vertical="center" wrapText="1"/>
    </xf>
    <xf numFmtId="0" fontId="69" fillId="0" borderId="42" xfId="0" applyFont="1" applyBorder="1" applyAlignment="1">
      <alignment vertical="center" wrapText="1"/>
    </xf>
    <xf numFmtId="0" fontId="69" fillId="0" borderId="0" xfId="0" applyFont="1" applyAlignment="1">
      <alignment vertical="center" wrapText="1"/>
    </xf>
    <xf numFmtId="0" fontId="64" fillId="0" borderId="0" xfId="0" applyFont="1" applyAlignment="1">
      <alignment vertical="center" wrapText="1"/>
    </xf>
    <xf numFmtId="0" fontId="99" fillId="0" borderId="9" xfId="0" applyFont="1" applyBorder="1" applyAlignment="1">
      <alignment vertical="top" wrapText="1"/>
    </xf>
    <xf numFmtId="0" fontId="99" fillId="0" borderId="8" xfId="0" applyFont="1" applyBorder="1" applyAlignment="1">
      <alignment vertical="top" wrapText="1"/>
    </xf>
    <xf numFmtId="0" fontId="69" fillId="0" borderId="9" xfId="0" applyFont="1" applyBorder="1" applyAlignment="1">
      <alignment vertical="center" wrapText="1"/>
    </xf>
    <xf numFmtId="0" fontId="69" fillId="0" borderId="8" xfId="0" applyFont="1" applyBorder="1" applyAlignment="1">
      <alignment vertical="center" wrapText="1"/>
    </xf>
    <xf numFmtId="0" fontId="82" fillId="0" borderId="0" xfId="0" applyFont="1" applyAlignment="1">
      <alignment vertical="top" wrapText="1"/>
    </xf>
    <xf numFmtId="0" fontId="69" fillId="0" borderId="0" xfId="0" applyFont="1" applyAlignment="1">
      <alignment vertical="top"/>
    </xf>
    <xf numFmtId="0" fontId="66" fillId="0" borderId="41" xfId="0" applyFont="1" applyBorder="1" applyAlignment="1">
      <alignment vertical="center" wrapText="1"/>
    </xf>
    <xf numFmtId="0" fontId="66" fillId="0" borderId="42" xfId="0" applyFont="1" applyBorder="1" applyAlignment="1">
      <alignment vertical="center" wrapText="1"/>
    </xf>
    <xf numFmtId="0" fontId="66" fillId="0" borderId="0" xfId="0" applyFont="1" applyAlignment="1">
      <alignment vertical="center" wrapText="1"/>
    </xf>
    <xf numFmtId="0" fontId="66" fillId="0" borderId="9" xfId="0" applyFont="1" applyBorder="1" applyAlignment="1">
      <alignment vertical="center" wrapText="1"/>
    </xf>
    <xf numFmtId="0" fontId="66" fillId="0" borderId="8" xfId="0" applyFont="1" applyBorder="1" applyAlignment="1">
      <alignment vertical="center" wrapText="1"/>
    </xf>
    <xf numFmtId="0" fontId="69" fillId="36" borderId="43" xfId="0" applyFont="1" applyFill="1" applyBorder="1" applyAlignment="1">
      <alignment vertical="center" wrapText="1"/>
    </xf>
    <xf numFmtId="203" fontId="64" fillId="0" borderId="0" xfId="0" applyNumberFormat="1" applyFont="1" applyAlignment="1">
      <alignment vertical="center" wrapText="1"/>
    </xf>
    <xf numFmtId="0" fontId="77" fillId="0" borderId="10" xfId="0" applyFont="1" applyBorder="1" applyAlignment="1">
      <alignment vertical="center" wrapText="1"/>
    </xf>
    <xf numFmtId="0" fontId="77" fillId="0" borderId="0" xfId="0" applyFont="1" applyAlignment="1">
      <alignment vertical="center" wrapText="1"/>
    </xf>
    <xf numFmtId="0" fontId="83" fillId="0" borderId="21" xfId="0" applyFont="1" applyBorder="1" applyAlignment="1">
      <alignment vertical="center" wrapText="1"/>
    </xf>
    <xf numFmtId="0" fontId="83" fillId="0" borderId="0" xfId="0" applyFont="1" applyAlignment="1">
      <alignment vertical="center" wrapText="1"/>
    </xf>
    <xf numFmtId="0" fontId="77" fillId="0" borderId="10" xfId="0" applyFont="1" applyBorder="1" applyAlignment="1">
      <alignment horizontal="center" vertical="center" wrapText="1"/>
    </xf>
    <xf numFmtId="0" fontId="77" fillId="0" borderId="0" xfId="0" applyFont="1" applyAlignment="1">
      <alignment horizontal="center" vertical="center" wrapText="1"/>
    </xf>
    <xf numFmtId="0" fontId="83" fillId="0" borderId="21" xfId="0" applyFont="1" applyBorder="1" applyAlignment="1">
      <alignment horizontal="center" vertical="center" wrapText="1"/>
    </xf>
    <xf numFmtId="0" fontId="83" fillId="0" borderId="0" xfId="0" applyFont="1" applyAlignment="1">
      <alignment horizontal="center" vertical="center" wrapText="1"/>
    </xf>
    <xf numFmtId="0" fontId="65" fillId="0" borderId="10" xfId="0" applyFont="1" applyBorder="1" applyAlignment="1">
      <alignment vertical="center" wrapText="1"/>
    </xf>
    <xf numFmtId="0" fontId="65" fillId="0" borderId="21" xfId="0" applyFont="1" applyBorder="1" applyAlignment="1">
      <alignment vertical="center" wrapText="1"/>
    </xf>
    <xf numFmtId="0" fontId="72" fillId="0" borderId="21" xfId="0" applyFont="1" applyBorder="1" applyAlignment="1">
      <alignment vertical="center" wrapText="1"/>
    </xf>
    <xf numFmtId="0" fontId="75" fillId="0" borderId="0" xfId="0" applyFont="1" applyAlignment="1">
      <alignment horizontal="center" vertical="center"/>
    </xf>
    <xf numFmtId="0" fontId="75" fillId="0" borderId="0" xfId="0" applyFont="1" applyAlignment="1">
      <alignment horizontal="left" vertical="center" wrapText="1"/>
    </xf>
    <xf numFmtId="0" fontId="75" fillId="0" borderId="0" xfId="0" applyFont="1" applyAlignment="1">
      <alignment horizontal="center" vertical="center" wrapText="1"/>
    </xf>
    <xf numFmtId="0" fontId="73" fillId="0" borderId="0" xfId="0" applyFont="1" applyAlignment="1">
      <alignment horizontal="left" vertical="center" indent="1"/>
    </xf>
    <xf numFmtId="10" fontId="73" fillId="0" borderId="0" xfId="0" applyNumberFormat="1" applyFont="1" applyAlignment="1">
      <alignment horizontal="right" vertical="center"/>
    </xf>
    <xf numFmtId="10" fontId="73" fillId="0" borderId="0" xfId="1582" applyNumberFormat="1" applyFont="1" applyFill="1" applyBorder="1" applyAlignment="1">
      <alignment vertical="center"/>
    </xf>
    <xf numFmtId="0" fontId="73" fillId="0" borderId="0" xfId="0" applyFont="1"/>
    <xf numFmtId="0" fontId="73" fillId="0" borderId="0" xfId="0" applyFont="1" applyAlignment="1">
      <alignment vertical="center" textRotation="90" wrapText="1"/>
    </xf>
    <xf numFmtId="15" fontId="73" fillId="0" borderId="0" xfId="0" applyNumberFormat="1" applyFont="1" applyAlignment="1">
      <alignment vertical="center" textRotation="90" wrapText="1"/>
    </xf>
    <xf numFmtId="0" fontId="98" fillId="0" borderId="21" xfId="0" applyFont="1" applyBorder="1" applyAlignment="1">
      <alignment vertical="center" wrapText="1"/>
    </xf>
    <xf numFmtId="0" fontId="101" fillId="0" borderId="0" xfId="0" applyFont="1" applyAlignment="1">
      <alignment vertical="center" wrapText="1"/>
    </xf>
    <xf numFmtId="0" fontId="97" fillId="0" borderId="0" xfId="0" applyFont="1" applyAlignment="1">
      <alignment vertical="center" textRotation="90" wrapText="1"/>
    </xf>
    <xf numFmtId="0" fontId="97" fillId="0" borderId="21" xfId="0" applyFont="1" applyBorder="1" applyAlignment="1">
      <alignment vertical="center" textRotation="90" wrapText="1"/>
    </xf>
    <xf numFmtId="0" fontId="73" fillId="0" borderId="0" xfId="0" applyFont="1" applyAlignment="1">
      <alignment horizontal="center"/>
    </xf>
    <xf numFmtId="10" fontId="73" fillId="0" borderId="0" xfId="0" applyNumberFormat="1" applyFont="1"/>
    <xf numFmtId="10" fontId="73" fillId="0" borderId="0" xfId="1582" applyNumberFormat="1" applyFont="1" applyFill="1" applyBorder="1"/>
    <xf numFmtId="0" fontId="84" fillId="0" borderId="10" xfId="0" applyFont="1" applyBorder="1" applyAlignment="1">
      <alignment vertical="center" wrapText="1"/>
    </xf>
    <xf numFmtId="0" fontId="84" fillId="0" borderId="0" xfId="0" applyFont="1" applyAlignment="1">
      <alignment horizontal="left" vertical="center"/>
    </xf>
    <xf numFmtId="0" fontId="84" fillId="0" borderId="0" xfId="0" applyFont="1" applyAlignment="1">
      <alignment horizontal="center" vertical="center" wrapText="1"/>
    </xf>
    <xf numFmtId="0" fontId="84" fillId="0" borderId="0" xfId="0" applyFont="1" applyAlignment="1">
      <alignment vertical="center" wrapText="1"/>
    </xf>
    <xf numFmtId="0" fontId="84" fillId="0" borderId="21" xfId="0" applyFont="1" applyBorder="1" applyAlignment="1">
      <alignment vertical="center" wrapText="1"/>
    </xf>
    <xf numFmtId="0" fontId="98" fillId="0" borderId="24" xfId="0" applyFont="1" applyBorder="1" applyAlignment="1">
      <alignment vertical="center" wrapText="1"/>
    </xf>
    <xf numFmtId="0" fontId="98" fillId="0" borderId="9" xfId="0" applyFont="1" applyBorder="1" applyAlignment="1">
      <alignment vertical="center" wrapText="1"/>
    </xf>
    <xf numFmtId="0" fontId="98" fillId="0" borderId="8" xfId="0" applyFont="1" applyBorder="1" applyAlignment="1">
      <alignment vertical="center" wrapText="1"/>
    </xf>
    <xf numFmtId="0" fontId="98" fillId="0" borderId="41" xfId="0" applyFont="1" applyBorder="1" applyAlignment="1">
      <alignment vertical="center" wrapText="1"/>
    </xf>
    <xf numFmtId="0" fontId="73" fillId="0" borderId="41" xfId="0" applyFont="1" applyBorder="1" applyAlignment="1">
      <alignment horizontal="center" vertical="center" wrapText="1"/>
    </xf>
    <xf numFmtId="204" fontId="80" fillId="0" borderId="0" xfId="0" applyNumberFormat="1" applyFont="1" applyAlignment="1">
      <alignment vertical="center" wrapText="1"/>
    </xf>
    <xf numFmtId="0" fontId="76" fillId="0" borderId="0" xfId="0" applyFont="1" applyAlignment="1">
      <alignment horizontal="right" vertical="center" wrapText="1"/>
    </xf>
    <xf numFmtId="0" fontId="102" fillId="0" borderId="0" xfId="0" applyFont="1" applyAlignment="1">
      <alignment vertical="center" wrapText="1"/>
    </xf>
    <xf numFmtId="0" fontId="74" fillId="0" borderId="0" xfId="0" applyFont="1" applyAlignment="1">
      <alignment horizontal="left" vertical="center"/>
    </xf>
    <xf numFmtId="204" fontId="76" fillId="0" borderId="0" xfId="0" applyNumberFormat="1" applyFont="1" applyAlignment="1">
      <alignment vertical="center" wrapText="1"/>
    </xf>
    <xf numFmtId="0" fontId="78" fillId="0" borderId="0" xfId="0" applyFont="1" applyAlignment="1">
      <alignment vertical="center" wrapText="1"/>
    </xf>
    <xf numFmtId="0" fontId="78" fillId="0" borderId="0" xfId="0" applyFont="1" applyAlignment="1">
      <alignment horizontal="center" vertical="center" wrapText="1"/>
    </xf>
    <xf numFmtId="0" fontId="69" fillId="0" borderId="0" xfId="0" applyFont="1" applyAlignment="1">
      <alignment horizontal="center" vertical="center"/>
    </xf>
    <xf numFmtId="10" fontId="65" fillId="0" borderId="0" xfId="0" applyNumberFormat="1" applyFont="1" applyAlignment="1">
      <alignment wrapText="1"/>
    </xf>
    <xf numFmtId="10" fontId="65" fillId="0" borderId="0" xfId="0" applyNumberFormat="1" applyFont="1" applyAlignment="1">
      <alignment vertical="center" wrapText="1"/>
    </xf>
    <xf numFmtId="10" fontId="65" fillId="0" borderId="0" xfId="0" applyNumberFormat="1" applyFont="1" applyAlignment="1">
      <alignment horizontal="right" wrapText="1"/>
    </xf>
    <xf numFmtId="10" fontId="78" fillId="0" borderId="0" xfId="0" applyNumberFormat="1" applyFont="1" applyAlignment="1">
      <alignment wrapText="1"/>
    </xf>
    <xf numFmtId="10" fontId="78" fillId="0" borderId="0" xfId="0" applyNumberFormat="1" applyFont="1" applyAlignment="1">
      <alignment vertical="center" wrapText="1"/>
    </xf>
    <xf numFmtId="10" fontId="78" fillId="0" borderId="0" xfId="0" applyNumberFormat="1" applyFont="1" applyAlignment="1">
      <alignment horizontal="right" wrapText="1"/>
    </xf>
    <xf numFmtId="10" fontId="65" fillId="0" borderId="0" xfId="0" applyNumberFormat="1" applyFont="1" applyAlignment="1">
      <alignment horizontal="right" vertical="center" wrapText="1"/>
    </xf>
    <xf numFmtId="0" fontId="102" fillId="0" borderId="0" xfId="0" applyFont="1" applyAlignment="1">
      <alignment wrapText="1"/>
    </xf>
    <xf numFmtId="0" fontId="103" fillId="0" borderId="0" xfId="0" applyFont="1" applyAlignment="1">
      <alignment wrapText="1"/>
    </xf>
    <xf numFmtId="10" fontId="69" fillId="0" borderId="0" xfId="0" applyNumberFormat="1" applyFont="1" applyAlignment="1">
      <alignment vertical="center"/>
    </xf>
    <xf numFmtId="9" fontId="69" fillId="0" borderId="0" xfId="0" applyNumberFormat="1" applyFont="1" applyAlignment="1">
      <alignment vertical="center"/>
    </xf>
    <xf numFmtId="0" fontId="5" fillId="0" borderId="0" xfId="0" applyFont="1" applyAlignment="1" applyProtection="1">
      <alignment horizontal="left"/>
      <protection locked="0"/>
    </xf>
    <xf numFmtId="0" fontId="75" fillId="37" borderId="1" xfId="0" applyFont="1" applyFill="1" applyBorder="1" applyAlignment="1">
      <alignment horizontal="center" vertical="center"/>
    </xf>
    <xf numFmtId="0" fontId="75" fillId="37" borderId="4" xfId="0" applyFont="1" applyFill="1" applyBorder="1" applyAlignment="1">
      <alignment horizontal="left" vertical="center" wrapText="1"/>
    </xf>
    <xf numFmtId="0" fontId="75" fillId="37" borderId="4" xfId="0" applyFont="1" applyFill="1" applyBorder="1" applyAlignment="1">
      <alignment horizontal="center" vertical="center"/>
    </xf>
    <xf numFmtId="0" fontId="75" fillId="37" borderId="43" xfId="0" applyFont="1" applyFill="1" applyBorder="1" applyAlignment="1">
      <alignment horizontal="center" vertical="center" wrapText="1"/>
    </xf>
    <xf numFmtId="0" fontId="73" fillId="0" borderId="6" xfId="0" applyFont="1" applyBorder="1" applyAlignment="1">
      <alignment horizontal="center" vertical="center"/>
    </xf>
    <xf numFmtId="10" fontId="73" fillId="0" borderId="43" xfId="0" applyNumberFormat="1" applyFont="1" applyBorder="1" applyAlignment="1">
      <alignment horizontal="right" vertical="center"/>
    </xf>
    <xf numFmtId="10" fontId="73" fillId="0" borderId="6" xfId="1582" applyNumberFormat="1" applyFont="1" applyBorder="1" applyAlignment="1">
      <alignment vertical="center"/>
    </xf>
    <xf numFmtId="0" fontId="73" fillId="0" borderId="6" xfId="0" applyFont="1" applyBorder="1"/>
    <xf numFmtId="0" fontId="73" fillId="37" borderId="1" xfId="0" applyFont="1" applyFill="1" applyBorder="1" applyAlignment="1">
      <alignment horizontal="center"/>
    </xf>
    <xf numFmtId="0" fontId="73" fillId="37" borderId="4" xfId="0" applyFont="1" applyFill="1" applyBorder="1"/>
    <xf numFmtId="10" fontId="73" fillId="37" borderId="4" xfId="0" applyNumberFormat="1" applyFont="1" applyFill="1" applyBorder="1"/>
    <xf numFmtId="10" fontId="73" fillId="37" borderId="4" xfId="1582" applyNumberFormat="1" applyFont="1" applyFill="1" applyBorder="1"/>
    <xf numFmtId="0" fontId="73" fillId="37" borderId="43" xfId="0" applyFont="1" applyFill="1" applyBorder="1"/>
    <xf numFmtId="0" fontId="0" fillId="0" borderId="0" xfId="0" applyProtection="1">
      <protection locked="0"/>
    </xf>
    <xf numFmtId="172" fontId="104" fillId="0" borderId="0" xfId="0" applyNumberFormat="1" applyFont="1" applyAlignment="1" applyProtection="1">
      <alignment horizontal="center"/>
      <protection locked="0"/>
    </xf>
    <xf numFmtId="172" fontId="105" fillId="0" borderId="0" xfId="0" applyNumberFormat="1" applyFont="1" applyAlignment="1" applyProtection="1">
      <alignment horizontal="center"/>
      <protection locked="0"/>
    </xf>
    <xf numFmtId="0" fontId="106" fillId="0" borderId="0" xfId="0" applyFont="1" applyProtection="1">
      <protection locked="0"/>
    </xf>
    <xf numFmtId="0" fontId="107" fillId="0" borderId="0" xfId="0" applyFont="1" applyProtection="1">
      <protection locked="0"/>
    </xf>
    <xf numFmtId="0" fontId="0" fillId="0" borderId="0" xfId="0" applyAlignment="1" applyProtection="1">
      <alignment vertical="center"/>
      <protection locked="0"/>
    </xf>
    <xf numFmtId="2" fontId="108" fillId="0" borderId="26" xfId="0" applyNumberFormat="1" applyFont="1" applyBorder="1" applyAlignment="1" applyProtection="1">
      <alignment horizontal="center"/>
      <protection locked="0"/>
    </xf>
    <xf numFmtId="172" fontId="104" fillId="0" borderId="26" xfId="0" applyNumberFormat="1" applyFont="1" applyBorder="1" applyAlignment="1" applyProtection="1">
      <alignment horizontal="center"/>
      <protection locked="0"/>
    </xf>
    <xf numFmtId="0" fontId="3" fillId="0" borderId="0" xfId="0" applyFont="1" applyAlignment="1" applyProtection="1">
      <alignment horizontal="center" vertical="center"/>
      <protection locked="0"/>
    </xf>
    <xf numFmtId="2" fontId="3" fillId="0" borderId="0" xfId="1582" applyNumberFormat="1" applyFont="1" applyFill="1" applyBorder="1" applyAlignment="1" applyProtection="1">
      <alignment horizontal="center"/>
      <protection locked="0"/>
    </xf>
    <xf numFmtId="2" fontId="105" fillId="0" borderId="0" xfId="0" applyNumberFormat="1" applyFont="1" applyAlignment="1" applyProtection="1">
      <alignment horizontal="center"/>
      <protection locked="0"/>
    </xf>
    <xf numFmtId="0" fontId="7" fillId="0" borderId="0" xfId="0" quotePrefix="1" applyFont="1" applyAlignment="1" applyProtection="1">
      <alignment horizontal="center" vertical="center"/>
      <protection locked="0"/>
    </xf>
    <xf numFmtId="0" fontId="7" fillId="0" borderId="0" xfId="0" quotePrefix="1" applyFont="1" applyProtection="1">
      <protection locked="0"/>
    </xf>
    <xf numFmtId="0" fontId="3" fillId="0" borderId="0" xfId="0" applyFont="1" applyAlignment="1" applyProtection="1">
      <alignment vertical="center"/>
      <protection locked="0"/>
    </xf>
    <xf numFmtId="175" fontId="109" fillId="38" borderId="46" xfId="0" applyNumberFormat="1" applyFont="1" applyFill="1" applyBorder="1" applyAlignment="1" applyProtection="1">
      <alignment horizontal="center" vertical="center"/>
      <protection locked="0"/>
    </xf>
    <xf numFmtId="0" fontId="110" fillId="39" borderId="46" xfId="0" applyFont="1" applyFill="1" applyBorder="1" applyAlignment="1" applyProtection="1">
      <alignment horizontal="center" vertical="center"/>
      <protection locked="0"/>
    </xf>
    <xf numFmtId="4" fontId="96" fillId="0" borderId="0" xfId="0" applyNumberFormat="1" applyFont="1" applyAlignment="1" applyProtection="1">
      <alignment horizontal="right"/>
      <protection locked="0"/>
    </xf>
    <xf numFmtId="10" fontId="111" fillId="0" borderId="0" xfId="1582" applyNumberFormat="1" applyFont="1" applyFill="1" applyBorder="1" applyAlignment="1" applyProtection="1">
      <alignment horizontal="center"/>
      <protection locked="0"/>
    </xf>
    <xf numFmtId="175" fontId="109" fillId="0" borderId="46" xfId="0" applyNumberFormat="1" applyFont="1" applyBorder="1" applyAlignment="1" applyProtection="1">
      <alignment horizontal="center" vertical="center"/>
      <protection locked="0"/>
    </xf>
    <xf numFmtId="1" fontId="112" fillId="0" borderId="48" xfId="1582" applyNumberFormat="1" applyFont="1" applyBorder="1" applyAlignment="1" applyProtection="1">
      <alignment horizontal="center" vertical="center"/>
      <protection locked="0"/>
    </xf>
    <xf numFmtId="175" fontId="113" fillId="0" borderId="12" xfId="0" applyNumberFormat="1" applyFont="1" applyBorder="1" applyAlignment="1" applyProtection="1">
      <alignment horizontal="center"/>
      <protection locked="0"/>
    </xf>
    <xf numFmtId="10" fontId="3" fillId="0" borderId="12" xfId="1582" applyNumberFormat="1" applyFont="1" applyBorder="1" applyProtection="1">
      <protection locked="0"/>
    </xf>
    <xf numFmtId="10" fontId="3" fillId="0" borderId="49" xfId="1582" applyNumberFormat="1" applyFont="1" applyBorder="1" applyProtection="1">
      <protection locked="0"/>
    </xf>
    <xf numFmtId="10" fontId="3" fillId="0" borderId="0" xfId="1582" applyNumberFormat="1" applyFont="1" applyBorder="1" applyProtection="1">
      <protection locked="0"/>
    </xf>
    <xf numFmtId="10" fontId="3" fillId="0" borderId="28" xfId="1582" applyNumberFormat="1" applyFont="1" applyBorder="1" applyProtection="1">
      <protection locked="0"/>
    </xf>
    <xf numFmtId="170" fontId="3" fillId="0" borderId="0" xfId="648" applyNumberFormat="1" applyFont="1" applyBorder="1" applyAlignment="1">
      <alignment horizontal="center"/>
    </xf>
    <xf numFmtId="170" fontId="3" fillId="0" borderId="0" xfId="648" applyNumberFormat="1" applyFont="1" applyBorder="1" applyAlignment="1">
      <alignment horizontal="center" vertical="center"/>
    </xf>
    <xf numFmtId="0" fontId="4" fillId="0" borderId="0" xfId="0" quotePrefix="1" applyFont="1" applyAlignment="1" applyProtection="1">
      <alignment horizontal="left"/>
      <protection locked="0"/>
    </xf>
    <xf numFmtId="0" fontId="7" fillId="0" borderId="0" xfId="0" applyFont="1"/>
    <xf numFmtId="0" fontId="14" fillId="0" borderId="0" xfId="0" applyFont="1"/>
    <xf numFmtId="170" fontId="14" fillId="0" borderId="0" xfId="648" applyNumberFormat="1" applyFont="1" applyBorder="1" applyAlignment="1">
      <alignment horizontal="center"/>
    </xf>
    <xf numFmtId="0" fontId="70" fillId="0" borderId="40" xfId="0" applyFont="1" applyBorder="1" applyAlignment="1">
      <alignment vertical="center" wrapText="1"/>
    </xf>
    <xf numFmtId="0" fontId="70" fillId="0" borderId="41" xfId="0" applyFont="1" applyBorder="1" applyAlignment="1">
      <alignment vertical="center" wrapText="1"/>
    </xf>
    <xf numFmtId="0" fontId="70" fillId="0" borderId="42" xfId="0" applyFont="1" applyBorder="1" applyAlignment="1">
      <alignment vertical="center" wrapText="1"/>
    </xf>
    <xf numFmtId="0" fontId="5" fillId="0" borderId="0" xfId="254" applyNumberFormat="1" applyFont="1" applyBorder="1" applyAlignment="1" applyProtection="1">
      <alignment horizontal="left"/>
      <protection locked="0"/>
    </xf>
    <xf numFmtId="0" fontId="5" fillId="0" borderId="0" xfId="0" applyFont="1" applyAlignment="1">
      <alignment vertical="center"/>
    </xf>
    <xf numFmtId="0" fontId="67" fillId="0" borderId="0" xfId="0" applyFont="1" applyAlignment="1">
      <alignment vertical="center"/>
    </xf>
    <xf numFmtId="0" fontId="65" fillId="0" borderId="0" xfId="1062" applyFont="1" applyAlignment="1">
      <alignment vertical="center" wrapText="1"/>
    </xf>
    <xf numFmtId="0" fontId="81" fillId="0" borderId="0" xfId="1062" applyFont="1" applyAlignment="1">
      <alignment vertical="center" wrapText="1"/>
    </xf>
    <xf numFmtId="0" fontId="69" fillId="0" borderId="0" xfId="1062" applyFont="1" applyAlignment="1">
      <alignment vertical="center"/>
    </xf>
    <xf numFmtId="0" fontId="82" fillId="0" borderId="0" xfId="1062" applyFont="1" applyAlignment="1">
      <alignment vertical="center" wrapText="1"/>
    </xf>
    <xf numFmtId="0" fontId="69" fillId="0" borderId="0" xfId="1062" applyFont="1" applyAlignment="1">
      <alignment vertical="center" wrapText="1"/>
    </xf>
    <xf numFmtId="0" fontId="64" fillId="0" borderId="0" xfId="1062" applyFont="1" applyAlignment="1">
      <alignment vertical="center" wrapText="1"/>
    </xf>
    <xf numFmtId="0" fontId="82" fillId="0" borderId="0" xfId="1062" applyFont="1" applyAlignment="1">
      <alignment vertical="top" wrapText="1"/>
    </xf>
    <xf numFmtId="0" fontId="69" fillId="0" borderId="0" xfId="1062" applyFont="1" applyAlignment="1">
      <alignment vertical="top"/>
    </xf>
    <xf numFmtId="0" fontId="66" fillId="0" borderId="0" xfId="1062" applyFont="1" applyAlignment="1">
      <alignment vertical="center" wrapText="1"/>
    </xf>
    <xf numFmtId="0" fontId="64" fillId="36" borderId="1" xfId="1062" applyFont="1" applyFill="1" applyBorder="1" applyAlignment="1">
      <alignment vertical="center" wrapText="1"/>
    </xf>
    <xf numFmtId="0" fontId="64" fillId="36" borderId="4" xfId="1062" applyFont="1" applyFill="1" applyBorder="1" applyAlignment="1">
      <alignment vertical="center" wrapText="1"/>
    </xf>
    <xf numFmtId="0" fontId="69" fillId="36" borderId="4" xfId="1062" applyFont="1" applyFill="1" applyBorder="1" applyAlignment="1">
      <alignment vertical="center" wrapText="1"/>
    </xf>
    <xf numFmtId="0" fontId="69" fillId="36" borderId="43" xfId="1062" applyFont="1" applyFill="1" applyBorder="1" applyAlignment="1">
      <alignment vertical="center" wrapText="1"/>
    </xf>
    <xf numFmtId="203" fontId="64" fillId="0" borderId="0" xfId="1062" applyNumberFormat="1" applyFont="1" applyAlignment="1">
      <alignment vertical="center" wrapText="1"/>
    </xf>
    <xf numFmtId="0" fontId="70" fillId="0" borderId="10" xfId="1062" applyFont="1" applyBorder="1" applyAlignment="1">
      <alignment vertical="center" wrapText="1"/>
    </xf>
    <xf numFmtId="0" fontId="70" fillId="0" borderId="0" xfId="1062" applyFont="1" applyAlignment="1">
      <alignment vertical="center" wrapText="1"/>
    </xf>
    <xf numFmtId="0" fontId="70" fillId="0" borderId="21" xfId="1062" applyFont="1" applyBorder="1" applyAlignment="1">
      <alignment vertical="center" wrapText="1"/>
    </xf>
    <xf numFmtId="0" fontId="71" fillId="0" borderId="10" xfId="1062" applyFont="1" applyBorder="1" applyAlignment="1">
      <alignment vertical="center" wrapText="1"/>
    </xf>
    <xf numFmtId="0" fontId="74" fillId="0" borderId="0" xfId="1062" applyFont="1" applyAlignment="1">
      <alignment vertical="center" wrapText="1"/>
    </xf>
    <xf numFmtId="0" fontId="74" fillId="0" borderId="21" xfId="1062" applyFont="1" applyBorder="1" applyAlignment="1">
      <alignment vertical="center" wrapText="1"/>
    </xf>
    <xf numFmtId="0" fontId="77" fillId="0" borderId="10" xfId="1062" applyFont="1" applyBorder="1" applyAlignment="1">
      <alignment vertical="center" wrapText="1"/>
    </xf>
    <xf numFmtId="0" fontId="77" fillId="0" borderId="0" xfId="1062" applyFont="1" applyAlignment="1">
      <alignment vertical="center" wrapText="1"/>
    </xf>
    <xf numFmtId="0" fontId="83" fillId="0" borderId="21" xfId="1062" applyFont="1" applyBorder="1" applyAlignment="1">
      <alignment vertical="center" wrapText="1"/>
    </xf>
    <xf numFmtId="0" fontId="83" fillId="0" borderId="0" xfId="1062" applyFont="1" applyAlignment="1">
      <alignment vertical="center" wrapText="1"/>
    </xf>
    <xf numFmtId="0" fontId="77" fillId="0" borderId="10" xfId="1062" applyFont="1" applyBorder="1" applyAlignment="1">
      <alignment horizontal="center" vertical="center" wrapText="1"/>
    </xf>
    <xf numFmtId="0" fontId="77" fillId="0" borderId="0" xfId="1062" applyFont="1" applyAlignment="1">
      <alignment horizontal="center" vertical="center" wrapText="1"/>
    </xf>
    <xf numFmtId="0" fontId="83" fillId="0" borderId="21" xfId="1062" applyFont="1" applyBorder="1" applyAlignment="1">
      <alignment horizontal="center" vertical="center" wrapText="1"/>
    </xf>
    <xf numFmtId="0" fontId="83" fillId="0" borderId="0" xfId="1062" applyFont="1" applyAlignment="1">
      <alignment horizontal="center" vertical="center" wrapText="1"/>
    </xf>
    <xf numFmtId="0" fontId="65" fillId="0" borderId="10" xfId="1062" applyFont="1" applyBorder="1" applyAlignment="1">
      <alignment vertical="center" wrapText="1"/>
    </xf>
    <xf numFmtId="0" fontId="65" fillId="0" borderId="21" xfId="1062" applyFont="1" applyBorder="1" applyAlignment="1">
      <alignment vertical="center" wrapText="1"/>
    </xf>
    <xf numFmtId="0" fontId="72" fillId="0" borderId="10" xfId="1062" applyFont="1" applyBorder="1" applyAlignment="1">
      <alignment horizontal="right" vertical="center" wrapText="1"/>
    </xf>
    <xf numFmtId="0" fontId="72" fillId="0" borderId="0" xfId="1062" applyFont="1" applyAlignment="1">
      <alignment horizontal="center" vertical="center" wrapText="1"/>
    </xf>
    <xf numFmtId="0" fontId="72" fillId="0" borderId="0" xfId="1062" applyFont="1" applyAlignment="1">
      <alignment vertical="center" wrapText="1"/>
    </xf>
    <xf numFmtId="0" fontId="72" fillId="0" borderId="21" xfId="1062" applyFont="1" applyBorder="1" applyAlignment="1">
      <alignment vertical="center" wrapText="1"/>
    </xf>
    <xf numFmtId="0" fontId="73" fillId="0" borderId="0" xfId="1062" applyFont="1" applyAlignment="1">
      <alignment horizontal="right" vertical="center" wrapText="1"/>
    </xf>
    <xf numFmtId="0" fontId="73" fillId="0" borderId="0" xfId="1062" applyFont="1" applyAlignment="1">
      <alignment horizontal="center" vertical="center" wrapText="1"/>
    </xf>
    <xf numFmtId="0" fontId="71" fillId="0" borderId="0" xfId="1062" applyFont="1" applyAlignment="1">
      <alignment horizontal="left" vertical="center"/>
    </xf>
    <xf numFmtId="0" fontId="73" fillId="0" borderId="10" xfId="1062" applyFont="1" applyBorder="1" applyAlignment="1">
      <alignment horizontal="center" vertical="center" wrapText="1"/>
    </xf>
    <xf numFmtId="0" fontId="75" fillId="0" borderId="0" xfId="1062" applyFont="1" applyAlignment="1">
      <alignment vertical="center"/>
    </xf>
    <xf numFmtId="0" fontId="75" fillId="0" borderId="0" xfId="1062" applyFont="1" applyAlignment="1">
      <alignment vertical="center" wrapText="1"/>
    </xf>
    <xf numFmtId="0" fontId="73" fillId="0" borderId="21" xfId="1062" applyFont="1" applyBorder="1" applyAlignment="1">
      <alignment horizontal="center" vertical="center" wrapText="1"/>
    </xf>
    <xf numFmtId="0" fontId="75" fillId="0" borderId="0" xfId="1062" applyFont="1" applyAlignment="1">
      <alignment horizontal="center" vertical="center"/>
    </xf>
    <xf numFmtId="0" fontId="75" fillId="0" borderId="0" xfId="1062" applyFont="1" applyAlignment="1">
      <alignment horizontal="left" vertical="center" wrapText="1"/>
    </xf>
    <xf numFmtId="0" fontId="75" fillId="0" borderId="0" xfId="1062" applyFont="1" applyAlignment="1">
      <alignment horizontal="center" vertical="center" wrapText="1"/>
    </xf>
    <xf numFmtId="0" fontId="73" fillId="0" borderId="0" xfId="1062" applyFont="1" applyAlignment="1">
      <alignment vertical="center" wrapText="1"/>
    </xf>
    <xf numFmtId="0" fontId="73" fillId="0" borderId="0" xfId="1062" applyFont="1" applyAlignment="1">
      <alignment horizontal="center" vertical="center"/>
    </xf>
    <xf numFmtId="0" fontId="73" fillId="0" borderId="0" xfId="1062" applyFont="1" applyAlignment="1">
      <alignment horizontal="left" vertical="center" indent="1"/>
    </xf>
    <xf numFmtId="10" fontId="73" fillId="0" borderId="0" xfId="1062" applyNumberFormat="1" applyFont="1" applyAlignment="1">
      <alignment horizontal="right" vertical="center"/>
    </xf>
    <xf numFmtId="0" fontId="73" fillId="0" borderId="0" xfId="1062" applyFont="1"/>
    <xf numFmtId="0" fontId="73" fillId="0" borderId="21" xfId="1062" applyFont="1" applyBorder="1" applyAlignment="1">
      <alignment vertical="center" wrapText="1"/>
    </xf>
    <xf numFmtId="0" fontId="97" fillId="0" borderId="10" xfId="1062" applyFont="1" applyBorder="1" applyAlignment="1">
      <alignment vertical="center" wrapText="1"/>
    </xf>
    <xf numFmtId="0" fontId="73" fillId="0" borderId="0" xfId="1062" applyFont="1" applyAlignment="1">
      <alignment vertical="center" textRotation="90" wrapText="1"/>
    </xf>
    <xf numFmtId="15" fontId="73" fillId="0" borderId="0" xfId="1062" applyNumberFormat="1" applyFont="1" applyAlignment="1">
      <alignment vertical="center" textRotation="90" wrapText="1"/>
    </xf>
    <xf numFmtId="0" fontId="97" fillId="0" borderId="0" xfId="1062" applyFont="1" applyAlignment="1">
      <alignment vertical="center" wrapText="1"/>
    </xf>
    <xf numFmtId="0" fontId="98" fillId="0" borderId="10" xfId="1062" applyFont="1" applyBorder="1" applyAlignment="1">
      <alignment vertical="center" wrapText="1"/>
    </xf>
    <xf numFmtId="0" fontId="98" fillId="0" borderId="0" xfId="1062" applyFont="1" applyAlignment="1">
      <alignment vertical="center" wrapText="1"/>
    </xf>
    <xf numFmtId="0" fontId="98" fillId="0" borderId="21" xfId="1062" applyFont="1" applyBorder="1" applyAlignment="1">
      <alignment vertical="center" wrapText="1"/>
    </xf>
    <xf numFmtId="0" fontId="101" fillId="0" borderId="0" xfId="1062" applyFont="1" applyAlignment="1">
      <alignment vertical="center" wrapText="1"/>
    </xf>
    <xf numFmtId="0" fontId="73" fillId="0" borderId="0" xfId="1062" applyFont="1" applyAlignment="1">
      <alignment vertical="center"/>
    </xf>
    <xf numFmtId="0" fontId="72" fillId="0" borderId="10" xfId="1062" applyFont="1" applyBorder="1" applyAlignment="1">
      <alignment vertical="center" wrapText="1"/>
    </xf>
    <xf numFmtId="0" fontId="97" fillId="0" borderId="0" xfId="1062" applyFont="1" applyAlignment="1">
      <alignment vertical="center" textRotation="90" wrapText="1"/>
    </xf>
    <xf numFmtId="0" fontId="97" fillId="0" borderId="21" xfId="1062" applyFont="1" applyBorder="1" applyAlignment="1">
      <alignment vertical="center" textRotation="90" wrapText="1"/>
    </xf>
    <xf numFmtId="0" fontId="73" fillId="0" borderId="10" xfId="1062" applyFont="1" applyBorder="1" applyAlignment="1">
      <alignment vertical="center" wrapText="1"/>
    </xf>
    <xf numFmtId="0" fontId="73" fillId="0" borderId="10" xfId="1062" applyFont="1" applyBorder="1" applyAlignment="1">
      <alignment vertical="center"/>
    </xf>
    <xf numFmtId="0" fontId="73" fillId="0" borderId="0" xfId="1062" applyFont="1" applyAlignment="1">
      <alignment horizontal="center"/>
    </xf>
    <xf numFmtId="10" fontId="73" fillId="0" borderId="0" xfId="1062" applyNumberFormat="1" applyFont="1"/>
    <xf numFmtId="0" fontId="84" fillId="0" borderId="10" xfId="1062" applyFont="1" applyBorder="1" applyAlignment="1">
      <alignment vertical="center" wrapText="1"/>
    </xf>
    <xf numFmtId="0" fontId="84" fillId="0" borderId="0" xfId="1062" applyFont="1" applyAlignment="1">
      <alignment horizontal="left" vertical="center"/>
    </xf>
    <xf numFmtId="0" fontId="84" fillId="0" borderId="0" xfId="1062" applyFont="1" applyAlignment="1">
      <alignment horizontal="center" vertical="center" wrapText="1"/>
    </xf>
    <xf numFmtId="0" fontId="84" fillId="0" borderId="0" xfId="1062" applyFont="1" applyAlignment="1">
      <alignment vertical="center" wrapText="1"/>
    </xf>
    <xf numFmtId="0" fontId="84" fillId="0" borderId="21" xfId="1062" applyFont="1" applyBorder="1" applyAlignment="1">
      <alignment vertical="center" wrapText="1"/>
    </xf>
    <xf numFmtId="0" fontId="73" fillId="0" borderId="0" xfId="1062" applyFont="1" applyAlignment="1">
      <alignment horizontal="left" vertical="center"/>
    </xf>
    <xf numFmtId="0" fontId="76" fillId="0" borderId="0" xfId="1062" applyFont="1" applyAlignment="1">
      <alignment horizontal="left" vertical="center"/>
    </xf>
    <xf numFmtId="0" fontId="98" fillId="0" borderId="24" xfId="1062" applyFont="1" applyBorder="1" applyAlignment="1">
      <alignment vertical="center" wrapText="1"/>
    </xf>
    <xf numFmtId="0" fontId="98" fillId="0" borderId="9" xfId="1062" applyFont="1" applyBorder="1" applyAlignment="1">
      <alignment vertical="center" wrapText="1"/>
    </xf>
    <xf numFmtId="0" fontId="98" fillId="0" borderId="8" xfId="1062" applyFont="1" applyBorder="1" applyAlignment="1">
      <alignment vertical="center" wrapText="1"/>
    </xf>
    <xf numFmtId="0" fontId="98" fillId="0" borderId="41" xfId="1062" applyFont="1" applyBorder="1" applyAlignment="1">
      <alignment vertical="center" wrapText="1"/>
    </xf>
    <xf numFmtId="0" fontId="73" fillId="0" borderId="41" xfId="1062" applyFont="1" applyBorder="1" applyAlignment="1">
      <alignment horizontal="center" vertical="center" wrapText="1"/>
    </xf>
    <xf numFmtId="0" fontId="73" fillId="0" borderId="41" xfId="1062" applyFont="1" applyBorder="1" applyAlignment="1">
      <alignment vertical="center" wrapText="1"/>
    </xf>
    <xf numFmtId="204" fontId="73" fillId="0" borderId="0" xfId="1062" applyNumberFormat="1" applyFont="1" applyAlignment="1">
      <alignment vertical="center" wrapText="1"/>
    </xf>
    <xf numFmtId="204" fontId="80" fillId="0" borderId="0" xfId="1062" applyNumberFormat="1" applyFont="1" applyAlignment="1">
      <alignment vertical="center" wrapText="1"/>
    </xf>
    <xf numFmtId="0" fontId="76" fillId="0" borderId="0" xfId="1062" applyFont="1" applyAlignment="1">
      <alignment horizontal="right" vertical="center" wrapText="1"/>
    </xf>
    <xf numFmtId="0" fontId="102" fillId="0" borderId="0" xfId="1062" applyFont="1" applyAlignment="1">
      <alignment vertical="center" wrapText="1"/>
    </xf>
    <xf numFmtId="0" fontId="74" fillId="0" borderId="0" xfId="1062" applyFont="1" applyAlignment="1">
      <alignment horizontal="left" vertical="center"/>
    </xf>
    <xf numFmtId="0" fontId="100" fillId="0" borderId="0" xfId="1062" applyFont="1" applyAlignment="1">
      <alignment vertical="center" wrapText="1"/>
    </xf>
    <xf numFmtId="0" fontId="76" fillId="0" borderId="0" xfId="1062" applyFont="1" applyAlignment="1">
      <alignment horizontal="center" vertical="center" wrapText="1"/>
    </xf>
    <xf numFmtId="0" fontId="76" fillId="0" borderId="0" xfId="1062" applyFont="1" applyAlignment="1">
      <alignment vertical="center" wrapText="1"/>
    </xf>
    <xf numFmtId="0" fontId="76" fillId="0" borderId="0" xfId="1062" applyFont="1" applyAlignment="1">
      <alignment vertical="center"/>
    </xf>
    <xf numFmtId="204" fontId="76" fillId="0" borderId="0" xfId="1062" applyNumberFormat="1" applyFont="1" applyAlignment="1">
      <alignment vertical="center" wrapText="1"/>
    </xf>
    <xf numFmtId="0" fontId="73" fillId="0" borderId="0" xfId="1062" applyFont="1" applyAlignment="1">
      <alignment wrapText="1"/>
    </xf>
    <xf numFmtId="0" fontId="78" fillId="0" borderId="0" xfId="1062" applyFont="1" applyAlignment="1">
      <alignment vertical="center" wrapText="1"/>
    </xf>
    <xf numFmtId="0" fontId="78" fillId="0" borderId="0" xfId="1062" applyFont="1" applyAlignment="1">
      <alignment horizontal="center" vertical="center" wrapText="1"/>
    </xf>
    <xf numFmtId="0" fontId="69" fillId="0" borderId="0" xfId="1062" applyFont="1" applyAlignment="1">
      <alignment horizontal="center" vertical="center"/>
    </xf>
    <xf numFmtId="10" fontId="65" fillId="0" borderId="0" xfId="1062" applyNumberFormat="1" applyFont="1" applyAlignment="1">
      <alignment wrapText="1"/>
    </xf>
    <xf numFmtId="10" fontId="65" fillId="0" borderId="0" xfId="1062" applyNumberFormat="1" applyFont="1" applyAlignment="1">
      <alignment vertical="center" wrapText="1"/>
    </xf>
    <xf numFmtId="10" fontId="65" fillId="0" borderId="0" xfId="1062" applyNumberFormat="1" applyFont="1" applyAlignment="1">
      <alignment horizontal="right" wrapText="1"/>
    </xf>
    <xf numFmtId="10" fontId="78" fillId="0" borderId="0" xfId="1062" applyNumberFormat="1" applyFont="1" applyAlignment="1">
      <alignment wrapText="1"/>
    </xf>
    <xf numFmtId="10" fontId="78" fillId="0" borderId="0" xfId="1062" applyNumberFormat="1" applyFont="1" applyAlignment="1">
      <alignment vertical="center" wrapText="1"/>
    </xf>
    <xf numFmtId="10" fontId="78" fillId="0" borderId="0" xfId="1062" applyNumberFormat="1" applyFont="1" applyAlignment="1">
      <alignment horizontal="right" wrapText="1"/>
    </xf>
    <xf numFmtId="10" fontId="65" fillId="0" borderId="0" xfId="1062" applyNumberFormat="1" applyFont="1" applyAlignment="1">
      <alignment horizontal="right" vertical="center" wrapText="1"/>
    </xf>
    <xf numFmtId="0" fontId="77" fillId="0" borderId="0" xfId="1062" applyFont="1" applyAlignment="1">
      <alignment horizontal="left" vertical="center"/>
    </xf>
    <xf numFmtId="0" fontId="98" fillId="0" borderId="0" xfId="1062" applyFont="1" applyAlignment="1">
      <alignment wrapText="1"/>
    </xf>
    <xf numFmtId="0" fontId="97" fillId="0" borderId="0" xfId="1062" applyFont="1" applyAlignment="1">
      <alignment wrapText="1"/>
    </xf>
    <xf numFmtId="0" fontId="102" fillId="0" borderId="0" xfId="1062" applyFont="1" applyAlignment="1">
      <alignment wrapText="1"/>
    </xf>
    <xf numFmtId="0" fontId="103" fillId="0" borderId="0" xfId="1062" applyFont="1" applyAlignment="1">
      <alignment wrapText="1"/>
    </xf>
    <xf numFmtId="0" fontId="73" fillId="0" borderId="0" xfId="1062" applyFont="1" applyAlignment="1">
      <alignment vertical="top" wrapText="1"/>
    </xf>
    <xf numFmtId="0" fontId="97" fillId="0" borderId="0" xfId="1062" applyFont="1" applyAlignment="1">
      <alignment horizontal="center" vertical="center" wrapText="1"/>
    </xf>
    <xf numFmtId="15" fontId="97" fillId="0" borderId="0" xfId="1062" applyNumberFormat="1" applyFont="1" applyAlignment="1">
      <alignment vertical="center" wrapText="1"/>
    </xf>
    <xf numFmtId="10" fontId="69" fillId="0" borderId="0" xfId="1062" applyNumberFormat="1" applyFont="1" applyAlignment="1">
      <alignment vertical="center"/>
    </xf>
    <xf numFmtId="9" fontId="69" fillId="0" borderId="0" xfId="1062" applyNumberFormat="1" applyFont="1" applyAlignment="1">
      <alignment vertical="center"/>
    </xf>
    <xf numFmtId="0" fontId="15" fillId="0" borderId="0" xfId="1062" applyFont="1" applyAlignment="1">
      <alignment vertical="center" wrapText="1"/>
    </xf>
    <xf numFmtId="0" fontId="3" fillId="0" borderId="0" xfId="1062" applyAlignment="1">
      <alignment vertical="center"/>
    </xf>
    <xf numFmtId="0" fontId="28" fillId="0" borderId="0" xfId="1062" applyFont="1" applyAlignment="1">
      <alignment vertical="center" wrapText="1"/>
    </xf>
    <xf numFmtId="0" fontId="28" fillId="0" borderId="0" xfId="1062" applyFont="1" applyAlignment="1">
      <alignment vertical="top" wrapText="1"/>
    </xf>
    <xf numFmtId="0" fontId="3" fillId="0" borderId="0" xfId="1062" applyAlignment="1">
      <alignment vertical="top"/>
    </xf>
    <xf numFmtId="0" fontId="67" fillId="0" borderId="10" xfId="1062" applyFont="1" applyBorder="1" applyAlignment="1">
      <alignment vertical="center"/>
    </xf>
    <xf numFmtId="0" fontId="72" fillId="0" borderId="0" xfId="1062" applyFont="1" applyAlignment="1">
      <alignment horizontal="center" vertical="center"/>
    </xf>
    <xf numFmtId="0" fontId="67" fillId="0" borderId="0" xfId="1062" applyFont="1" applyAlignment="1">
      <alignment vertical="center"/>
    </xf>
    <xf numFmtId="0" fontId="3" fillId="0" borderId="21" xfId="1062" applyBorder="1" applyAlignment="1">
      <alignment vertical="center"/>
    </xf>
    <xf numFmtId="10" fontId="3" fillId="0" borderId="0" xfId="1062" applyNumberFormat="1" applyAlignment="1">
      <alignment vertical="center"/>
    </xf>
    <xf numFmtId="9" fontId="3" fillId="0" borderId="0" xfId="1062" applyNumberFormat="1" applyAlignment="1">
      <alignment vertical="center"/>
    </xf>
    <xf numFmtId="0" fontId="67" fillId="0" borderId="21" xfId="0" applyFont="1" applyBorder="1" applyAlignment="1">
      <alignment horizontal="center" vertical="center" wrapText="1"/>
    </xf>
    <xf numFmtId="0" fontId="67" fillId="0" borderId="10" xfId="0" applyFont="1" applyBorder="1" applyAlignment="1">
      <alignment horizontal="center" vertical="center" wrapText="1"/>
    </xf>
    <xf numFmtId="0" fontId="10" fillId="0" borderId="0" xfId="0" applyFont="1" applyAlignment="1">
      <alignment vertical="center" wrapText="1"/>
    </xf>
    <xf numFmtId="0" fontId="10" fillId="0" borderId="0" xfId="0" applyFont="1" applyAlignment="1">
      <alignment vertical="center"/>
    </xf>
    <xf numFmtId="10" fontId="7" fillId="40" borderId="1" xfId="1582" applyNumberFormat="1" applyFont="1" applyFill="1" applyBorder="1" applyAlignment="1" applyProtection="1">
      <alignment horizontal="center" vertical="center"/>
      <protection locked="0"/>
    </xf>
    <xf numFmtId="10" fontId="7" fillId="40" borderId="1" xfId="1582" applyNumberFormat="1" applyFont="1" applyFill="1" applyBorder="1" applyAlignment="1" applyProtection="1">
      <alignment horizontal="center" vertical="center" wrapText="1"/>
      <protection locked="0"/>
    </xf>
    <xf numFmtId="10" fontId="7" fillId="40" borderId="44" xfId="1582" applyNumberFormat="1" applyFont="1" applyFill="1" applyBorder="1" applyAlignment="1" applyProtection="1">
      <alignment horizontal="center" vertical="center"/>
      <protection locked="0"/>
    </xf>
    <xf numFmtId="10" fontId="7" fillId="40" borderId="24" xfId="1582" applyNumberFormat="1" applyFont="1" applyFill="1" applyBorder="1" applyAlignment="1" applyProtection="1">
      <alignment horizontal="center" vertical="center" wrapText="1"/>
      <protection locked="0"/>
    </xf>
    <xf numFmtId="10" fontId="7" fillId="40" borderId="59" xfId="1582" applyNumberFormat="1" applyFont="1" applyFill="1" applyBorder="1" applyAlignment="1" applyProtection="1">
      <alignment horizontal="center" vertical="center"/>
      <protection locked="0"/>
    </xf>
    <xf numFmtId="10" fontId="7" fillId="40" borderId="62" xfId="1582" applyNumberFormat="1" applyFont="1" applyFill="1" applyBorder="1" applyAlignment="1" applyProtection="1">
      <alignment horizontal="centerContinuous" vertical="center"/>
      <protection locked="0"/>
    </xf>
    <xf numFmtId="10" fontId="7" fillId="40" borderId="29" xfId="1582" applyNumberFormat="1" applyFont="1" applyFill="1" applyBorder="1" applyAlignment="1" applyProtection="1">
      <alignment horizontal="centerContinuous" vertical="center"/>
      <protection locked="0"/>
    </xf>
    <xf numFmtId="10" fontId="7" fillId="40" borderId="29" xfId="1582" applyNumberFormat="1" applyFont="1" applyFill="1" applyBorder="1" applyAlignment="1" applyProtection="1">
      <alignment horizontal="center" vertical="center"/>
      <protection locked="0"/>
    </xf>
    <xf numFmtId="10" fontId="7" fillId="40" borderId="37" xfId="1582" applyNumberFormat="1" applyFont="1" applyFill="1" applyBorder="1" applyAlignment="1" applyProtection="1">
      <alignment horizontal="center"/>
      <protection locked="0"/>
    </xf>
    <xf numFmtId="10" fontId="7" fillId="40" borderId="31" xfId="1582" applyNumberFormat="1" applyFont="1" applyFill="1" applyBorder="1" applyAlignment="1" applyProtection="1">
      <alignment horizontal="centerContinuous" vertical="center"/>
      <protection locked="0"/>
    </xf>
    <xf numFmtId="10" fontId="7" fillId="40" borderId="61" xfId="1582" applyNumberFormat="1" applyFont="1" applyFill="1" applyBorder="1" applyAlignment="1" applyProtection="1">
      <alignment horizontal="centerContinuous" vertical="center"/>
      <protection locked="0"/>
    </xf>
    <xf numFmtId="10" fontId="7" fillId="40" borderId="31" xfId="1582" applyNumberFormat="1" applyFont="1" applyFill="1" applyBorder="1" applyAlignment="1" applyProtection="1">
      <alignment horizontal="center" vertical="center"/>
      <protection locked="0"/>
    </xf>
    <xf numFmtId="10" fontId="7" fillId="40" borderId="63" xfId="1582" applyNumberFormat="1" applyFont="1" applyFill="1" applyBorder="1" applyAlignment="1" applyProtection="1">
      <alignment horizontal="center" vertical="center"/>
      <protection locked="0"/>
    </xf>
    <xf numFmtId="10" fontId="7" fillId="40" borderId="64" xfId="1582" applyNumberFormat="1" applyFont="1" applyFill="1" applyBorder="1" applyAlignment="1" applyProtection="1">
      <alignment horizontal="center" vertical="center"/>
      <protection locked="0"/>
    </xf>
    <xf numFmtId="0" fontId="75" fillId="40" borderId="6" xfId="0" applyFont="1" applyFill="1" applyBorder="1" applyAlignment="1">
      <alignment horizontal="center" vertical="center" wrapText="1"/>
    </xf>
    <xf numFmtId="0" fontId="75" fillId="40" borderId="6" xfId="0" applyFont="1" applyFill="1" applyBorder="1" applyAlignment="1">
      <alignment horizontal="center" vertical="center"/>
    </xf>
    <xf numFmtId="0" fontId="75" fillId="40" borderId="2" xfId="0" applyFont="1" applyFill="1" applyBorder="1" applyAlignment="1">
      <alignment horizontal="center" vertical="center"/>
    </xf>
    <xf numFmtId="0" fontId="75" fillId="40" borderId="4" xfId="0" applyFont="1" applyFill="1" applyBorder="1" applyAlignment="1">
      <alignment vertical="center"/>
    </xf>
    <xf numFmtId="10" fontId="75" fillId="40" borderId="6" xfId="0" applyNumberFormat="1" applyFont="1" applyFill="1" applyBorder="1" applyAlignment="1">
      <alignment vertical="center"/>
    </xf>
    <xf numFmtId="0" fontId="75" fillId="40" borderId="6" xfId="0" applyFont="1" applyFill="1" applyBorder="1" applyAlignment="1">
      <alignment vertical="center"/>
    </xf>
    <xf numFmtId="0" fontId="116" fillId="0" borderId="36" xfId="0" applyFont="1" applyBorder="1"/>
    <xf numFmtId="0" fontId="116" fillId="0" borderId="12" xfId="0" applyFont="1" applyBorder="1"/>
    <xf numFmtId="170" fontId="116" fillId="0" borderId="65" xfId="648" applyNumberFormat="1" applyFont="1" applyBorder="1" applyAlignment="1">
      <alignment horizontal="center"/>
    </xf>
    <xf numFmtId="170" fontId="116" fillId="0" borderId="66" xfId="648" applyNumberFormat="1" applyFont="1" applyBorder="1" applyAlignment="1">
      <alignment horizontal="center"/>
    </xf>
    <xf numFmtId="0" fontId="116" fillId="0" borderId="0" xfId="0" applyFont="1"/>
    <xf numFmtId="170" fontId="116" fillId="0" borderId="0" xfId="648" applyNumberFormat="1" applyFont="1" applyBorder="1" applyAlignment="1">
      <alignment horizontal="center"/>
    </xf>
    <xf numFmtId="0" fontId="75" fillId="0" borderId="10" xfId="0" applyFont="1" applyBorder="1" applyAlignment="1">
      <alignment horizontal="right" vertical="center" wrapText="1"/>
    </xf>
    <xf numFmtId="0" fontId="14" fillId="0" borderId="0" xfId="0" applyFont="1" applyAlignment="1">
      <alignment vertical="center" wrapText="1"/>
    </xf>
    <xf numFmtId="0" fontId="14" fillId="0" borderId="0" xfId="0" applyFont="1" applyAlignment="1">
      <alignment vertical="center"/>
    </xf>
    <xf numFmtId="0" fontId="66" fillId="0" borderId="0" xfId="0" applyFont="1" applyAlignment="1">
      <alignment vertical="center"/>
    </xf>
    <xf numFmtId="0" fontId="67" fillId="0" borderId="0" xfId="0" applyFont="1" applyAlignment="1">
      <alignment vertical="center" wrapText="1"/>
    </xf>
    <xf numFmtId="0" fontId="115" fillId="0" borderId="0" xfId="0" applyFont="1" applyAlignment="1">
      <alignment vertical="center" wrapText="1"/>
    </xf>
    <xf numFmtId="0" fontId="67" fillId="0" borderId="0" xfId="0" quotePrefix="1" applyFont="1" applyAlignment="1">
      <alignment horizontal="center" vertical="center" wrapText="1"/>
    </xf>
    <xf numFmtId="0" fontId="66" fillId="0" borderId="0" xfId="0" quotePrefix="1" applyFont="1" applyAlignment="1">
      <alignment horizontal="left" vertical="center"/>
    </xf>
    <xf numFmtId="0" fontId="74" fillId="0" borderId="4" xfId="1062" applyFont="1" applyBorder="1" applyAlignment="1">
      <alignment vertical="center" wrapText="1"/>
    </xf>
    <xf numFmtId="0" fontId="74" fillId="0" borderId="1" xfId="1062" applyFont="1" applyBorder="1" applyAlignment="1">
      <alignment vertical="center" wrapText="1"/>
    </xf>
    <xf numFmtId="0" fontId="74" fillId="0" borderId="43" xfId="1062" applyFont="1" applyBorder="1" applyAlignment="1">
      <alignment vertical="center" wrapText="1"/>
    </xf>
    <xf numFmtId="0" fontId="75" fillId="0" borderId="10" xfId="0" quotePrefix="1" applyFont="1" applyBorder="1" applyAlignment="1">
      <alignment horizontal="right" vertical="center" wrapText="1"/>
    </xf>
    <xf numFmtId="0" fontId="8" fillId="0" borderId="75" xfId="0" applyFont="1" applyBorder="1" applyAlignment="1">
      <alignment horizontal="center" vertical="center"/>
    </xf>
    <xf numFmtId="1" fontId="8" fillId="0" borderId="76" xfId="648" applyNumberFormat="1" applyFont="1" applyBorder="1" applyAlignment="1">
      <alignment horizontal="center" vertical="center"/>
    </xf>
    <xf numFmtId="0" fontId="8" fillId="0" borderId="0" xfId="0" applyFont="1" applyAlignment="1">
      <alignment horizontal="center" vertical="center"/>
    </xf>
    <xf numFmtId="0" fontId="8" fillId="0" borderId="21" xfId="0" applyFont="1" applyBorder="1" applyAlignment="1">
      <alignment horizontal="center" vertical="center"/>
    </xf>
    <xf numFmtId="175" fontId="8" fillId="0" borderId="17" xfId="0" applyNumberFormat="1" applyFont="1" applyBorder="1" applyAlignment="1">
      <alignment horizontal="center" vertical="center"/>
    </xf>
    <xf numFmtId="0" fontId="8" fillId="0" borderId="36" xfId="0" applyFont="1" applyBorder="1" applyAlignment="1">
      <alignment horizontal="center" vertical="center"/>
    </xf>
    <xf numFmtId="0" fontId="8" fillId="0" borderId="69" xfId="0" applyFont="1" applyBorder="1" applyAlignment="1">
      <alignment horizontal="center" vertical="center"/>
    </xf>
    <xf numFmtId="0" fontId="123" fillId="0" borderId="55" xfId="0" applyFont="1" applyBorder="1" applyAlignment="1">
      <alignment horizontal="center" vertical="center"/>
    </xf>
    <xf numFmtId="0" fontId="123" fillId="0" borderId="0" xfId="0" applyFont="1" applyAlignment="1">
      <alignment horizontal="center" vertical="center"/>
    </xf>
    <xf numFmtId="0" fontId="123" fillId="0" borderId="30" xfId="0" applyFont="1" applyBorder="1" applyAlignment="1">
      <alignment horizontal="center" vertical="center"/>
    </xf>
    <xf numFmtId="0" fontId="123" fillId="0" borderId="26" xfId="0" applyFont="1" applyBorder="1" applyAlignment="1">
      <alignment horizontal="center" vertical="center"/>
    </xf>
    <xf numFmtId="0" fontId="8" fillId="0" borderId="39" xfId="0" applyFont="1" applyBorder="1" applyAlignment="1">
      <alignment horizontal="center" vertical="center"/>
    </xf>
    <xf numFmtId="0" fontId="123" fillId="0" borderId="53" xfId="0" applyFont="1" applyBorder="1" applyAlignment="1">
      <alignment horizontal="center" vertical="center"/>
    </xf>
    <xf numFmtId="10" fontId="8" fillId="0" borderId="77" xfId="1582" applyNumberFormat="1" applyFont="1" applyFill="1" applyBorder="1" applyAlignment="1">
      <alignment horizontal="center" vertical="center"/>
    </xf>
    <xf numFmtId="170" fontId="8" fillId="0" borderId="69" xfId="648" applyNumberFormat="1" applyFont="1" applyBorder="1" applyAlignment="1">
      <alignment horizontal="center" vertical="center"/>
    </xf>
    <xf numFmtId="170" fontId="123" fillId="0" borderId="21" xfId="648" applyNumberFormat="1" applyFont="1" applyBorder="1" applyAlignment="1">
      <alignment horizontal="center" vertical="center"/>
    </xf>
    <xf numFmtId="170" fontId="123" fillId="0" borderId="76" xfId="648" applyNumberFormat="1" applyFont="1" applyBorder="1" applyAlignment="1">
      <alignment horizontal="center" vertical="center"/>
    </xf>
    <xf numFmtId="10" fontId="124" fillId="0" borderId="38" xfId="1582" applyNumberFormat="1" applyFont="1" applyBorder="1" applyAlignment="1">
      <alignment horizontal="center" vertical="center"/>
    </xf>
    <xf numFmtId="171" fontId="8" fillId="0" borderId="71" xfId="648" applyNumberFormat="1" applyFont="1" applyBorder="1" applyAlignment="1">
      <alignment horizontal="center" vertical="center"/>
    </xf>
    <xf numFmtId="170" fontId="123" fillId="0" borderId="17" xfId="648" applyNumberFormat="1" applyFont="1" applyBorder="1" applyAlignment="1">
      <alignment horizontal="center" vertical="center"/>
    </xf>
    <xf numFmtId="0" fontId="15" fillId="41" borderId="0" xfId="1062" applyFont="1" applyFill="1" applyAlignment="1">
      <alignment vertical="center" wrapText="1"/>
    </xf>
    <xf numFmtId="0" fontId="3" fillId="41" borderId="0" xfId="1062" applyFill="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pplyProtection="1">
      <alignment vertical="center"/>
      <protection locked="0"/>
    </xf>
    <xf numFmtId="0" fontId="5" fillId="0" borderId="0" xfId="254" applyNumberFormat="1" applyFont="1" applyBorder="1" applyAlignment="1" applyProtection="1">
      <alignment horizontal="left" vertical="center"/>
      <protection locked="0"/>
    </xf>
    <xf numFmtId="0" fontId="73" fillId="0" borderId="43" xfId="0" applyFont="1" applyBorder="1"/>
    <xf numFmtId="0" fontId="10" fillId="0" borderId="17" xfId="1062" applyFont="1" applyBorder="1" applyAlignment="1">
      <alignment horizontal="center" vertical="center"/>
    </xf>
    <xf numFmtId="0" fontId="10" fillId="0" borderId="0" xfId="1062" applyFont="1" applyAlignment="1">
      <alignment horizontal="left" vertical="center"/>
    </xf>
    <xf numFmtId="0" fontId="10" fillId="0" borderId="0" xfId="1062" applyFont="1" applyAlignment="1">
      <alignment horizontal="center" vertical="center"/>
    </xf>
    <xf numFmtId="0" fontId="10" fillId="0" borderId="10" xfId="1062" applyFont="1" applyBorder="1" applyAlignment="1">
      <alignment horizontal="left" vertical="center"/>
    </xf>
    <xf numFmtId="0" fontId="10" fillId="0" borderId="21" xfId="1062" applyFont="1" applyBorder="1" applyAlignment="1">
      <alignment horizontal="center" vertical="center"/>
    </xf>
    <xf numFmtId="15" fontId="10" fillId="0" borderId="79" xfId="1062" applyNumberFormat="1" applyFont="1" applyBorder="1" applyAlignment="1">
      <alignment horizontal="center" vertical="center"/>
    </xf>
    <xf numFmtId="0" fontId="10" fillId="0" borderId="79" xfId="1062" applyFont="1" applyBorder="1" applyAlignment="1">
      <alignment horizontal="center" vertical="center" wrapText="1"/>
    </xf>
    <xf numFmtId="0" fontId="10" fillId="0" borderId="0" xfId="1062" applyFont="1" applyAlignment="1">
      <alignment vertical="center"/>
    </xf>
    <xf numFmtId="0" fontId="10" fillId="0" borderId="21" xfId="1062" applyFont="1" applyBorder="1" applyAlignment="1">
      <alignment vertical="center"/>
    </xf>
    <xf numFmtId="0" fontId="10" fillId="0" borderId="10" xfId="0" applyFont="1" applyBorder="1" applyAlignment="1">
      <alignment horizontal="left" vertical="center"/>
    </xf>
    <xf numFmtId="0" fontId="10" fillId="0" borderId="21" xfId="0" applyFont="1" applyBorder="1" applyAlignment="1">
      <alignment vertical="center"/>
    </xf>
    <xf numFmtId="0" fontId="10" fillId="0" borderId="0" xfId="1062" applyFont="1" applyAlignment="1">
      <alignment vertical="center" wrapText="1"/>
    </xf>
    <xf numFmtId="15" fontId="10" fillId="0" borderId="17" xfId="0" applyNumberFormat="1" applyFont="1" applyBorder="1" applyAlignment="1">
      <alignment horizontal="center" vertical="center"/>
    </xf>
    <xf numFmtId="0" fontId="10" fillId="0" borderId="21" xfId="0" applyFont="1" applyBorder="1" applyAlignment="1">
      <alignment horizontal="center" vertical="center"/>
    </xf>
    <xf numFmtId="0" fontId="10" fillId="0" borderId="17" xfId="1062" applyFont="1" applyBorder="1" applyAlignment="1">
      <alignment horizontal="center" vertical="center" wrapText="1"/>
    </xf>
    <xf numFmtId="0" fontId="10" fillId="0" borderId="21" xfId="1062" applyFont="1" applyBorder="1" applyAlignment="1">
      <alignment vertical="center" wrapText="1"/>
    </xf>
    <xf numFmtId="0" fontId="10" fillId="0" borderId="0" xfId="0" applyFont="1" applyAlignment="1">
      <alignment horizontal="left" vertical="center"/>
    </xf>
    <xf numFmtId="170" fontId="116" fillId="0" borderId="80" xfId="648" applyNumberFormat="1" applyFont="1" applyBorder="1" applyAlignment="1">
      <alignment horizontal="center"/>
    </xf>
    <xf numFmtId="0" fontId="67" fillId="0" borderId="9" xfId="0" applyFont="1" applyBorder="1" applyAlignment="1">
      <alignment vertical="center"/>
    </xf>
    <xf numFmtId="0" fontId="67" fillId="0" borderId="8" xfId="0" applyFont="1" applyBorder="1" applyAlignment="1">
      <alignment vertical="center"/>
    </xf>
    <xf numFmtId="0" fontId="5" fillId="0" borderId="0" xfId="254" applyNumberFormat="1" applyFont="1" applyFill="1" applyBorder="1" applyAlignment="1" applyProtection="1">
      <alignment horizontal="left" vertical="center"/>
      <protection locked="0"/>
    </xf>
    <xf numFmtId="0" fontId="5" fillId="0" borderId="0" xfId="0" quotePrefix="1" applyFont="1" applyAlignment="1" applyProtection="1">
      <alignment horizontal="left"/>
      <protection locked="0"/>
    </xf>
    <xf numFmtId="170" fontId="3" fillId="0" borderId="0" xfId="648" applyNumberFormat="1" applyFont="1" applyFill="1" applyBorder="1" applyAlignment="1">
      <alignment horizontal="center" vertical="center"/>
    </xf>
    <xf numFmtId="10" fontId="116" fillId="0" borderId="77" xfId="1582" applyNumberFormat="1" applyFont="1" applyFill="1" applyBorder="1" applyAlignment="1">
      <alignment horizontal="center" vertical="center"/>
    </xf>
    <xf numFmtId="175" fontId="10" fillId="0" borderId="17" xfId="0" applyNumberFormat="1" applyFont="1" applyBorder="1" applyAlignment="1">
      <alignment horizontal="center" vertical="center"/>
    </xf>
    <xf numFmtId="10" fontId="116" fillId="0" borderId="38" xfId="1582" applyNumberFormat="1" applyFont="1" applyFill="1" applyBorder="1" applyAlignment="1">
      <alignment horizontal="center" vertical="center"/>
    </xf>
    <xf numFmtId="10" fontId="162" fillId="0" borderId="38" xfId="1582" applyNumberFormat="1" applyFont="1" applyBorder="1" applyAlignment="1">
      <alignment horizontal="center" vertical="center"/>
    </xf>
    <xf numFmtId="0" fontId="66" fillId="0" borderId="41" xfId="0" applyFont="1" applyBorder="1" applyAlignment="1">
      <alignment horizontal="left" vertical="center"/>
    </xf>
    <xf numFmtId="0" fontId="163" fillId="40" borderId="6" xfId="0" applyFont="1" applyFill="1" applyBorder="1" applyAlignment="1">
      <alignment horizontal="center" vertical="center" wrapText="1"/>
    </xf>
    <xf numFmtId="0" fontId="101" fillId="40" borderId="6" xfId="0" applyFont="1" applyFill="1" applyBorder="1" applyAlignment="1">
      <alignment horizontal="center" vertical="center" wrapText="1"/>
    </xf>
    <xf numFmtId="0" fontId="101" fillId="40" borderId="2" xfId="0" applyFont="1" applyFill="1" applyBorder="1" applyAlignment="1">
      <alignment horizontal="center" vertical="center" wrapText="1"/>
    </xf>
    <xf numFmtId="10" fontId="123" fillId="42" borderId="38" xfId="1582" applyNumberFormat="1" applyFont="1" applyFill="1" applyBorder="1" applyAlignment="1">
      <alignment horizontal="center" vertical="center"/>
    </xf>
    <xf numFmtId="15" fontId="0" fillId="0" borderId="0" xfId="0" applyNumberFormat="1"/>
    <xf numFmtId="0" fontId="66" fillId="0" borderId="9" xfId="0" applyFont="1" applyBorder="1" applyAlignment="1">
      <alignment horizontal="center" vertical="center"/>
    </xf>
    <xf numFmtId="0" fontId="10" fillId="0" borderId="10" xfId="0" applyFont="1" applyBorder="1" applyAlignment="1">
      <alignment vertical="center"/>
    </xf>
    <xf numFmtId="0" fontId="10" fillId="0" borderId="21" xfId="0" applyFont="1" applyBorder="1" applyAlignment="1">
      <alignment vertical="center" wrapText="1"/>
    </xf>
    <xf numFmtId="15" fontId="10" fillId="0" borderId="21" xfId="0" applyNumberFormat="1" applyFont="1" applyBorder="1" applyAlignment="1">
      <alignment horizontal="center" vertical="center"/>
    </xf>
    <xf numFmtId="0" fontId="73" fillId="0" borderId="0" xfId="0" applyFont="1" applyAlignment="1">
      <alignment horizontal="left" vertical="top" wrapText="1"/>
    </xf>
    <xf numFmtId="0" fontId="66" fillId="0" borderId="0" xfId="0" applyFont="1" applyAlignment="1">
      <alignment horizontal="center" vertical="center"/>
    </xf>
    <xf numFmtId="0" fontId="67" fillId="0" borderId="0" xfId="0" applyFont="1" applyAlignment="1">
      <alignment horizontal="center" vertical="center" wrapText="1"/>
    </xf>
    <xf numFmtId="0" fontId="67" fillId="0" borderId="0" xfId="0" applyFont="1" applyAlignment="1">
      <alignment horizontal="left" vertical="center"/>
    </xf>
    <xf numFmtId="0" fontId="67" fillId="0" borderId="0" xfId="0" applyFont="1" applyAlignment="1">
      <alignment horizontal="left" vertical="top"/>
    </xf>
    <xf numFmtId="0" fontId="117" fillId="0" borderId="0" xfId="0" applyFont="1" applyAlignment="1">
      <alignment vertical="center"/>
    </xf>
    <xf numFmtId="177" fontId="117" fillId="0" borderId="0" xfId="0" applyNumberFormat="1" applyFont="1" applyAlignment="1">
      <alignment horizontal="left" vertical="center"/>
    </xf>
    <xf numFmtId="0" fontId="117" fillId="0" borderId="0" xfId="0" applyFont="1" applyAlignment="1">
      <alignment horizontal="center" vertical="center"/>
    </xf>
    <xf numFmtId="0" fontId="66" fillId="0" borderId="0" xfId="0" applyFont="1" applyAlignment="1">
      <alignment horizontal="left" vertical="center"/>
    </xf>
    <xf numFmtId="0" fontId="117" fillId="0" borderId="0" xfId="0" applyFont="1" applyAlignment="1">
      <alignment horizontal="left"/>
    </xf>
    <xf numFmtId="0" fontId="67" fillId="0" borderId="0" xfId="0" applyFont="1" applyAlignment="1">
      <alignment horizontal="left"/>
    </xf>
    <xf numFmtId="177" fontId="67" fillId="0" borderId="0" xfId="0" applyNumberFormat="1" applyFont="1" applyAlignment="1">
      <alignment horizontal="left" vertical="center"/>
    </xf>
    <xf numFmtId="0" fontId="67" fillId="0" borderId="0" xfId="0" applyFont="1" applyAlignment="1">
      <alignment horizontal="center" vertical="center"/>
    </xf>
    <xf numFmtId="0" fontId="118" fillId="0" borderId="0" xfId="0" applyFont="1" applyAlignment="1">
      <alignment vertical="center" wrapText="1"/>
    </xf>
    <xf numFmtId="0" fontId="75" fillId="0" borderId="0" xfId="0" applyFont="1" applyAlignment="1">
      <alignment horizontal="left" vertical="center"/>
    </xf>
    <xf numFmtId="177" fontId="119" fillId="0" borderId="0" xfId="1302" applyNumberFormat="1" applyFont="1" applyAlignment="1">
      <alignment horizontal="left" vertical="center"/>
    </xf>
    <xf numFmtId="177" fontId="119" fillId="0" borderId="0" xfId="1254" applyNumberFormat="1" applyFont="1" applyAlignment="1">
      <alignment horizontal="left" vertical="center"/>
    </xf>
    <xf numFmtId="0" fontId="119" fillId="0" borderId="0" xfId="1254" applyFont="1" applyAlignment="1">
      <alignment horizontal="center" vertical="center"/>
    </xf>
    <xf numFmtId="0" fontId="74" fillId="0" borderId="24" xfId="0" applyFont="1" applyBorder="1" applyAlignment="1">
      <alignment horizontal="left" vertical="center"/>
    </xf>
    <xf numFmtId="0" fontId="73" fillId="0" borderId="9" xfId="0" applyFont="1" applyBorder="1" applyAlignment="1">
      <alignment horizontal="center" vertical="center"/>
    </xf>
    <xf numFmtId="0" fontId="67" fillId="0" borderId="9" xfId="0" applyFont="1" applyBorder="1" applyAlignment="1">
      <alignment horizontal="left" vertical="top"/>
    </xf>
    <xf numFmtId="0" fontId="117" fillId="0" borderId="9" xfId="0" applyFont="1" applyBorder="1" applyAlignment="1">
      <alignment vertical="center"/>
    </xf>
    <xf numFmtId="0" fontId="73" fillId="0" borderId="8" xfId="0" applyFont="1" applyBorder="1" applyAlignment="1">
      <alignment horizontal="center" vertical="center" wrapText="1"/>
    </xf>
    <xf numFmtId="0" fontId="10" fillId="0" borderId="10" xfId="1062" applyFont="1" applyBorder="1" applyAlignment="1">
      <alignment vertical="center"/>
    </xf>
    <xf numFmtId="0" fontId="9" fillId="0" borderId="21" xfId="0" applyFont="1" applyBorder="1" applyAlignment="1">
      <alignment horizontal="center" vertical="center"/>
    </xf>
    <xf numFmtId="0" fontId="7" fillId="0" borderId="0" xfId="1062" applyFont="1" applyAlignment="1">
      <alignment vertical="center"/>
    </xf>
    <xf numFmtId="0" fontId="15" fillId="0" borderId="33" xfId="0" applyFont="1" applyBorder="1" applyAlignment="1">
      <alignment horizontal="center"/>
    </xf>
    <xf numFmtId="171" fontId="8" fillId="0" borderId="72" xfId="648" applyNumberFormat="1" applyFont="1" applyBorder="1" applyAlignment="1">
      <alignment horizontal="center" vertical="center"/>
    </xf>
    <xf numFmtId="170" fontId="123" fillId="0" borderId="83" xfId="648" applyNumberFormat="1" applyFont="1" applyBorder="1" applyAlignment="1">
      <alignment horizontal="center" vertical="center"/>
    </xf>
    <xf numFmtId="170" fontId="123" fillId="0" borderId="82" xfId="648" applyNumberFormat="1" applyFont="1" applyBorder="1" applyAlignment="1">
      <alignment horizontal="center" vertical="center"/>
    </xf>
    <xf numFmtId="10" fontId="124" fillId="0" borderId="54" xfId="1582" applyNumberFormat="1" applyFont="1" applyBorder="1" applyAlignment="1">
      <alignment horizontal="center" vertical="center"/>
    </xf>
    <xf numFmtId="0" fontId="10" fillId="0" borderId="44" xfId="1062" applyFont="1" applyBorder="1" applyAlignment="1">
      <alignment horizontal="center" vertical="center"/>
    </xf>
    <xf numFmtId="0" fontId="10" fillId="0" borderId="24" xfId="0" applyFont="1" applyBorder="1" applyAlignment="1">
      <alignment vertical="center"/>
    </xf>
    <xf numFmtId="0" fontId="10" fillId="0" borderId="9" xfId="0" applyFont="1" applyBorder="1" applyAlignment="1">
      <alignment vertical="center"/>
    </xf>
    <xf numFmtId="0" fontId="10" fillId="0" borderId="8" xfId="0" applyFont="1" applyBorder="1" applyAlignment="1">
      <alignment vertical="center"/>
    </xf>
    <xf numFmtId="0" fontId="10" fillId="0" borderId="24" xfId="1062" applyFont="1" applyBorder="1" applyAlignment="1">
      <alignment vertical="center"/>
    </xf>
    <xf numFmtId="0" fontId="10" fillId="0" borderId="9" xfId="1062" applyFont="1" applyBorder="1" applyAlignment="1">
      <alignment vertical="center"/>
    </xf>
    <xf numFmtId="0" fontId="10" fillId="0" borderId="8" xfId="1062" applyFont="1" applyBorder="1" applyAlignment="1">
      <alignment vertical="center"/>
    </xf>
    <xf numFmtId="15" fontId="10" fillId="0" borderId="44" xfId="0" applyNumberFormat="1" applyFont="1" applyBorder="1" applyAlignment="1">
      <alignment horizontal="center" vertical="center"/>
    </xf>
    <xf numFmtId="0" fontId="9" fillId="0" borderId="8" xfId="0" applyFont="1" applyBorder="1" applyAlignment="1">
      <alignment horizontal="center" vertical="center"/>
    </xf>
    <xf numFmtId="0" fontId="10" fillId="0" borderId="44" xfId="1062" applyFont="1" applyBorder="1" applyAlignment="1">
      <alignment horizontal="center" vertical="center" wrapText="1"/>
    </xf>
    <xf numFmtId="0" fontId="11" fillId="40" borderId="26" xfId="0" applyFont="1" applyFill="1" applyBorder="1" applyAlignment="1" applyProtection="1">
      <alignment horizontal="center" vertical="center" wrapText="1"/>
      <protection locked="0"/>
    </xf>
    <xf numFmtId="0" fontId="11" fillId="40" borderId="0" xfId="0" applyFont="1" applyFill="1" applyAlignment="1" applyProtection="1">
      <alignment horizontal="center" vertical="center" wrapText="1"/>
      <protection locked="0"/>
    </xf>
    <xf numFmtId="0" fontId="11" fillId="40" borderId="9" xfId="0" applyFont="1" applyFill="1" applyBorder="1" applyAlignment="1" applyProtection="1">
      <alignment horizontal="center" vertical="center" wrapText="1"/>
      <protection locked="0"/>
    </xf>
    <xf numFmtId="0" fontId="174" fillId="0" borderId="0" xfId="1867" applyFont="1"/>
    <xf numFmtId="0" fontId="174" fillId="0" borderId="0" xfId="1867" applyFont="1" applyAlignment="1">
      <alignment horizontal="center" vertical="center"/>
    </xf>
    <xf numFmtId="0" fontId="9" fillId="0" borderId="30" xfId="1063" applyFont="1" applyBorder="1" applyAlignment="1">
      <alignment vertical="center"/>
    </xf>
    <xf numFmtId="0" fontId="9" fillId="0" borderId="26" xfId="1063" applyFont="1" applyBorder="1" applyAlignment="1">
      <alignment horizontal="center" vertical="center"/>
    </xf>
    <xf numFmtId="0" fontId="9" fillId="0" borderId="33" xfId="1063" applyFont="1" applyBorder="1" applyAlignment="1">
      <alignment vertical="center"/>
    </xf>
    <xf numFmtId="0" fontId="9" fillId="0" borderId="0" xfId="1063" applyFont="1" applyAlignment="1">
      <alignment horizontal="center" vertical="center"/>
    </xf>
    <xf numFmtId="0" fontId="9" fillId="0" borderId="36" xfId="1063" applyFont="1" applyBorder="1" applyAlignment="1">
      <alignment vertical="center"/>
    </xf>
    <xf numFmtId="0" fontId="9" fillId="0" borderId="12" xfId="1063" applyFont="1" applyBorder="1" applyAlignment="1">
      <alignment horizontal="center" vertical="center"/>
    </xf>
    <xf numFmtId="49" fontId="10" fillId="0" borderId="12" xfId="1063" quotePrefix="1" applyNumberFormat="1" applyFont="1" applyBorder="1" applyAlignment="1">
      <alignment horizontal="left" vertical="center" indent="1"/>
    </xf>
    <xf numFmtId="0" fontId="9" fillId="0" borderId="12" xfId="1063" applyFont="1" applyBorder="1" applyAlignment="1">
      <alignment horizontal="right" vertical="center"/>
    </xf>
    <xf numFmtId="0" fontId="174" fillId="0" borderId="33" xfId="1867" applyFont="1" applyBorder="1"/>
    <xf numFmtId="0" fontId="174" fillId="0" borderId="28" xfId="1867" applyFont="1" applyBorder="1"/>
    <xf numFmtId="0" fontId="177" fillId="0" borderId="28" xfId="1867" applyFont="1" applyBorder="1" applyAlignment="1">
      <alignment horizontal="center" vertical="center"/>
    </xf>
    <xf numFmtId="0" fontId="177" fillId="0" borderId="0" xfId="1867" applyFont="1" applyAlignment="1">
      <alignment horizontal="center" vertical="center"/>
    </xf>
    <xf numFmtId="0" fontId="178" fillId="0" borderId="0" xfId="1867" applyFont="1" applyAlignment="1">
      <alignment vertical="center"/>
    </xf>
    <xf numFmtId="0" fontId="179" fillId="0" borderId="28" xfId="1867" applyFont="1" applyBorder="1" applyAlignment="1">
      <alignment horizontal="center" vertical="center"/>
    </xf>
    <xf numFmtId="0" fontId="179" fillId="0" borderId="33" xfId="1867" applyFont="1" applyBorder="1"/>
    <xf numFmtId="0" fontId="179" fillId="0" borderId="0" xfId="1867" applyFont="1"/>
    <xf numFmtId="0" fontId="179" fillId="0" borderId="28" xfId="1867" applyFont="1" applyBorder="1" applyAlignment="1">
      <alignment horizontal="center"/>
    </xf>
    <xf numFmtId="0" fontId="174" fillId="0" borderId="28" xfId="1867" applyFont="1" applyBorder="1" applyAlignment="1">
      <alignment horizontal="center"/>
    </xf>
    <xf numFmtId="0" fontId="174" fillId="0" borderId="33" xfId="1867" applyFont="1" applyBorder="1" applyAlignment="1">
      <alignment horizontal="center" vertical="center"/>
    </xf>
    <xf numFmtId="0" fontId="174" fillId="0" borderId="28" xfId="1867" applyFont="1" applyBorder="1" applyAlignment="1">
      <alignment horizontal="center" vertical="center"/>
    </xf>
    <xf numFmtId="0" fontId="178" fillId="0" borderId="35" xfId="1867" applyFont="1" applyBorder="1" applyAlignment="1">
      <alignment horizontal="center" vertical="center"/>
    </xf>
    <xf numFmtId="0" fontId="180" fillId="0" borderId="55" xfId="1867" applyFont="1" applyBorder="1" applyAlignment="1">
      <alignment horizontal="center" vertical="center"/>
    </xf>
    <xf numFmtId="0" fontId="180" fillId="0" borderId="35" xfId="1867" applyFont="1" applyBorder="1" applyAlignment="1">
      <alignment horizontal="center" vertical="center"/>
    </xf>
    <xf numFmtId="0" fontId="180" fillId="0" borderId="35" xfId="1867" applyFont="1" applyBorder="1" applyAlignment="1">
      <alignment vertical="center"/>
    </xf>
    <xf numFmtId="0" fontId="174" fillId="0" borderId="36" xfId="1867" applyFont="1" applyBorder="1"/>
    <xf numFmtId="0" fontId="174" fillId="0" borderId="12" xfId="1867" applyFont="1" applyBorder="1" applyAlignment="1">
      <alignment horizontal="center" vertical="center"/>
    </xf>
    <xf numFmtId="0" fontId="174" fillId="0" borderId="12" xfId="1867" applyFont="1" applyBorder="1"/>
    <xf numFmtId="0" fontId="174" fillId="0" borderId="49" xfId="1867" applyFont="1" applyBorder="1"/>
    <xf numFmtId="0" fontId="10" fillId="0" borderId="26" xfId="1063" applyFont="1" applyBorder="1" applyAlignment="1">
      <alignment vertical="center"/>
    </xf>
    <xf numFmtId="0" fontId="10" fillId="0" borderId="27" xfId="1063" applyFont="1" applyBorder="1" applyAlignment="1">
      <alignment vertical="center"/>
    </xf>
    <xf numFmtId="0" fontId="3" fillId="0" borderId="0" xfId="0" applyFont="1"/>
    <xf numFmtId="10" fontId="0" fillId="0" borderId="0" xfId="0" applyNumberFormat="1"/>
    <xf numFmtId="10" fontId="0" fillId="0" borderId="0" xfId="1582" applyNumberFormat="1" applyFont="1"/>
    <xf numFmtId="0" fontId="3" fillId="0" borderId="0" xfId="0" applyFont="1" applyAlignment="1">
      <alignment horizontal="center"/>
    </xf>
    <xf numFmtId="0" fontId="184" fillId="0" borderId="30" xfId="0" quotePrefix="1" applyFont="1" applyBorder="1" applyAlignment="1" applyProtection="1">
      <alignment horizontal="left" vertical="center"/>
      <protection locked="0"/>
    </xf>
    <xf numFmtId="0" fontId="184" fillId="0" borderId="26" xfId="0" quotePrefix="1" applyFont="1" applyBorder="1" applyAlignment="1" applyProtection="1">
      <alignment horizontal="left" vertical="center"/>
      <protection locked="0"/>
    </xf>
    <xf numFmtId="0" fontId="184" fillId="0" borderId="26" xfId="0" quotePrefix="1" applyFont="1" applyBorder="1" applyAlignment="1" applyProtection="1">
      <alignment horizontal="center" vertical="center"/>
      <protection locked="0"/>
    </xf>
    <xf numFmtId="170" fontId="184" fillId="0" borderId="26" xfId="649" applyNumberFormat="1" applyFont="1" applyBorder="1" applyAlignment="1" applyProtection="1">
      <alignment horizontal="centerContinuous" vertical="center"/>
      <protection locked="0"/>
    </xf>
    <xf numFmtId="0" fontId="184" fillId="0" borderId="26" xfId="649" applyNumberFormat="1" applyFont="1" applyBorder="1" applyAlignment="1" applyProtection="1">
      <alignment horizontal="centerContinuous" vertical="center"/>
      <protection locked="0"/>
    </xf>
    <xf numFmtId="218" fontId="184" fillId="0" borderId="26" xfId="649" applyNumberFormat="1" applyFont="1" applyBorder="1" applyAlignment="1" applyProtection="1">
      <alignment horizontal="center" vertical="center"/>
      <protection locked="0"/>
    </xf>
    <xf numFmtId="218" fontId="185" fillId="0" borderId="26" xfId="649" applyNumberFormat="1" applyFont="1" applyBorder="1" applyAlignment="1" applyProtection="1">
      <alignment horizontal="center"/>
      <protection locked="0"/>
    </xf>
    <xf numFmtId="218" fontId="184" fillId="0" borderId="26" xfId="649" applyNumberFormat="1" applyFont="1" applyBorder="1" applyAlignment="1" applyProtection="1">
      <alignment horizontal="center"/>
      <protection locked="0"/>
    </xf>
    <xf numFmtId="218" fontId="185" fillId="0" borderId="26" xfId="649" applyNumberFormat="1" applyFont="1" applyBorder="1" applyAlignment="1" applyProtection="1">
      <alignment horizontal="center" vertical="center"/>
      <protection locked="0"/>
    </xf>
    <xf numFmtId="170" fontId="184" fillId="0" borderId="26" xfId="649" applyNumberFormat="1" applyFont="1" applyBorder="1" applyAlignment="1" applyProtection="1">
      <alignment horizontal="center"/>
      <protection locked="0"/>
    </xf>
    <xf numFmtId="170" fontId="184" fillId="0" borderId="27" xfId="649" applyNumberFormat="1" applyFont="1" applyBorder="1" applyAlignment="1" applyProtection="1">
      <alignment horizontal="center"/>
      <protection locked="0"/>
    </xf>
    <xf numFmtId="0" fontId="184" fillId="0" borderId="33" xfId="0" applyFont="1" applyBorder="1" applyAlignment="1" applyProtection="1">
      <alignment vertical="center"/>
      <protection locked="0"/>
    </xf>
    <xf numFmtId="0" fontId="184" fillId="0" borderId="0" xfId="0" applyFont="1" applyAlignment="1" applyProtection="1">
      <alignment vertical="center"/>
      <protection locked="0"/>
    </xf>
    <xf numFmtId="0" fontId="184" fillId="0" borderId="0" xfId="0" applyFont="1" applyAlignment="1" applyProtection="1">
      <alignment horizontal="center" vertical="center"/>
      <protection locked="0"/>
    </xf>
    <xf numFmtId="0" fontId="184" fillId="0" borderId="28" xfId="0" applyFont="1" applyBorder="1" applyAlignment="1" applyProtection="1">
      <alignment vertical="center"/>
      <protection locked="0"/>
    </xf>
    <xf numFmtId="0" fontId="184" fillId="0" borderId="33" xfId="0" applyFont="1" applyBorder="1" applyAlignment="1" applyProtection="1">
      <alignment horizontal="left" vertical="center"/>
      <protection locked="0"/>
    </xf>
    <xf numFmtId="0" fontId="184" fillId="0" borderId="0" xfId="0" applyFont="1" applyAlignment="1" applyProtection="1">
      <alignment horizontal="left" vertical="center"/>
      <protection locked="0"/>
    </xf>
    <xf numFmtId="0" fontId="186" fillId="0" borderId="0" xfId="0" applyFont="1" applyProtection="1">
      <protection locked="0"/>
    </xf>
    <xf numFmtId="0" fontId="186" fillId="0" borderId="0" xfId="0" applyFont="1" applyAlignment="1" applyProtection="1">
      <alignment horizontal="center"/>
      <protection locked="0"/>
    </xf>
    <xf numFmtId="170" fontId="186" fillId="0" borderId="0" xfId="649" applyNumberFormat="1" applyFont="1" applyBorder="1" applyAlignment="1" applyProtection="1">
      <alignment vertical="center"/>
      <protection locked="0"/>
    </xf>
    <xf numFmtId="0" fontId="186" fillId="0" borderId="0" xfId="649" applyNumberFormat="1" applyFont="1" applyBorder="1" applyAlignment="1" applyProtection="1">
      <alignment vertical="center"/>
      <protection locked="0"/>
    </xf>
    <xf numFmtId="218" fontId="186" fillId="0" borderId="0" xfId="649" applyNumberFormat="1" applyFont="1" applyBorder="1" applyAlignment="1" applyProtection="1">
      <alignment horizontal="center" vertical="center"/>
      <protection locked="0"/>
    </xf>
    <xf numFmtId="218" fontId="187" fillId="0" borderId="0" xfId="649" applyNumberFormat="1" applyFont="1" applyBorder="1" applyAlignment="1" applyProtection="1">
      <alignment horizontal="center"/>
      <protection locked="0"/>
    </xf>
    <xf numFmtId="218" fontId="186" fillId="0" borderId="0" xfId="649" applyNumberFormat="1" applyFont="1" applyBorder="1" applyAlignment="1" applyProtection="1">
      <alignment horizontal="center"/>
      <protection locked="0"/>
    </xf>
    <xf numFmtId="218" fontId="186" fillId="0" borderId="0" xfId="0" applyNumberFormat="1" applyFont="1" applyAlignment="1" applyProtection="1">
      <alignment vertical="center"/>
      <protection locked="0"/>
    </xf>
    <xf numFmtId="218" fontId="187" fillId="0" borderId="0" xfId="0" applyNumberFormat="1" applyFont="1" applyProtection="1">
      <protection locked="0"/>
    </xf>
    <xf numFmtId="218" fontId="186" fillId="0" borderId="0" xfId="0" applyNumberFormat="1" applyFont="1" applyProtection="1">
      <protection locked="0"/>
    </xf>
    <xf numFmtId="218" fontId="184" fillId="0" borderId="0" xfId="0" applyNumberFormat="1" applyFont="1" applyAlignment="1" applyProtection="1">
      <alignment horizontal="right" vertical="center"/>
      <protection locked="0"/>
    </xf>
    <xf numFmtId="218" fontId="185" fillId="0" borderId="0" xfId="0" quotePrefix="1" applyNumberFormat="1" applyFont="1" applyAlignment="1">
      <alignment horizontal="center" vertical="center"/>
    </xf>
    <xf numFmtId="218" fontId="184" fillId="0" borderId="0" xfId="0" applyNumberFormat="1" applyFont="1" applyAlignment="1" applyProtection="1">
      <alignment horizontal="right"/>
      <protection locked="0"/>
    </xf>
    <xf numFmtId="0" fontId="184" fillId="0" borderId="0" xfId="0" applyFont="1" applyAlignment="1" applyProtection="1">
      <alignment horizontal="right"/>
      <protection locked="0"/>
    </xf>
    <xf numFmtId="176" fontId="188" fillId="0" borderId="0" xfId="0" quotePrefix="1" applyNumberFormat="1" applyFont="1" applyAlignment="1">
      <alignment horizontal="center" vertical="center"/>
    </xf>
    <xf numFmtId="0" fontId="186" fillId="0" borderId="28" xfId="0" applyFont="1" applyBorder="1" applyProtection="1">
      <protection locked="0"/>
    </xf>
    <xf numFmtId="218" fontId="184" fillId="0" borderId="0" xfId="649" applyNumberFormat="1" applyFont="1" applyFill="1" applyBorder="1" applyAlignment="1" applyProtection="1">
      <alignment horizontal="center" vertical="center"/>
      <protection locked="0"/>
    </xf>
    <xf numFmtId="218" fontId="185" fillId="0" borderId="0" xfId="649" applyNumberFormat="1" applyFont="1" applyFill="1" applyBorder="1" applyAlignment="1" applyProtection="1">
      <alignment horizontal="center"/>
      <protection locked="0"/>
    </xf>
    <xf numFmtId="218" fontId="186" fillId="0" borderId="0" xfId="649" applyNumberFormat="1" applyFont="1" applyFill="1" applyBorder="1" applyAlignment="1" applyProtection="1">
      <alignment horizontal="center"/>
      <protection locked="0"/>
    </xf>
    <xf numFmtId="218" fontId="186" fillId="0" borderId="0" xfId="649" applyNumberFormat="1" applyFont="1" applyFill="1" applyBorder="1" applyAlignment="1" applyProtection="1">
      <alignment horizontal="center" vertical="center"/>
      <protection locked="0"/>
    </xf>
    <xf numFmtId="218" fontId="187" fillId="0" borderId="0" xfId="649" applyNumberFormat="1" applyFont="1" applyFill="1" applyBorder="1" applyAlignment="1" applyProtection="1">
      <alignment horizontal="center"/>
      <protection locked="0"/>
    </xf>
    <xf numFmtId="218" fontId="185" fillId="0" borderId="0" xfId="0" applyNumberFormat="1" applyFont="1" applyAlignment="1" applyProtection="1">
      <alignment horizontal="center" vertical="center"/>
      <protection locked="0"/>
    </xf>
    <xf numFmtId="218" fontId="185" fillId="0" borderId="0" xfId="0" applyNumberFormat="1" applyFont="1" applyAlignment="1" applyProtection="1">
      <alignment horizontal="center"/>
      <protection locked="0"/>
    </xf>
    <xf numFmtId="176" fontId="188" fillId="0" borderId="0" xfId="0" applyNumberFormat="1" applyFont="1" applyAlignment="1" applyProtection="1">
      <alignment horizontal="center"/>
      <protection locked="0"/>
    </xf>
    <xf numFmtId="0" fontId="186" fillId="0" borderId="0" xfId="0" applyFont="1" applyAlignment="1" applyProtection="1">
      <alignment vertical="center"/>
      <protection locked="0"/>
    </xf>
    <xf numFmtId="218" fontId="186" fillId="0" borderId="0" xfId="0" applyNumberFormat="1" applyFont="1" applyAlignment="1" applyProtection="1">
      <alignment horizontal="left"/>
      <protection locked="0"/>
    </xf>
    <xf numFmtId="218" fontId="186" fillId="0" borderId="0" xfId="0" applyNumberFormat="1" applyFont="1" applyAlignment="1" applyProtection="1">
      <alignment horizontal="center" vertical="center"/>
      <protection locked="0"/>
    </xf>
    <xf numFmtId="218" fontId="187" fillId="0" borderId="0" xfId="0" applyNumberFormat="1" applyFont="1" applyAlignment="1" applyProtection="1">
      <alignment horizontal="center"/>
      <protection locked="0"/>
    </xf>
    <xf numFmtId="218" fontId="186" fillId="0" borderId="0" xfId="0" applyNumberFormat="1" applyFont="1" applyAlignment="1" applyProtection="1">
      <alignment horizontal="center"/>
      <protection locked="0"/>
    </xf>
    <xf numFmtId="218" fontId="189" fillId="0" borderId="0" xfId="0" applyNumberFormat="1" applyFont="1" applyAlignment="1" applyProtection="1">
      <alignment horizontal="center"/>
      <protection locked="0"/>
    </xf>
    <xf numFmtId="175" fontId="188" fillId="0" borderId="0" xfId="0" applyNumberFormat="1" applyFont="1" applyAlignment="1" applyProtection="1">
      <alignment horizontal="center"/>
      <protection locked="0"/>
    </xf>
    <xf numFmtId="218" fontId="185" fillId="0" borderId="0" xfId="0" applyNumberFormat="1" applyFont="1" applyAlignment="1" applyProtection="1">
      <alignment horizontal="right"/>
      <protection locked="0"/>
    </xf>
    <xf numFmtId="218" fontId="188" fillId="0" borderId="0" xfId="0" applyNumberFormat="1" applyFont="1" applyAlignment="1" applyProtection="1">
      <alignment horizontal="center"/>
      <protection locked="0"/>
    </xf>
    <xf numFmtId="218" fontId="185" fillId="0" borderId="0" xfId="0" applyNumberFormat="1" applyFont="1" applyAlignment="1" applyProtection="1">
      <alignment horizontal="right" vertical="center"/>
      <protection locked="0"/>
    </xf>
    <xf numFmtId="175" fontId="188" fillId="0" borderId="28" xfId="0" applyNumberFormat="1" applyFont="1" applyBorder="1" applyAlignment="1" applyProtection="1">
      <alignment horizontal="center"/>
      <protection locked="0"/>
    </xf>
    <xf numFmtId="0" fontId="186" fillId="0" borderId="36" xfId="0" applyFont="1" applyBorder="1" applyProtection="1">
      <protection locked="0"/>
    </xf>
    <xf numFmtId="0" fontId="186" fillId="0" borderId="12" xfId="0" applyFont="1" applyBorder="1" applyProtection="1">
      <protection locked="0"/>
    </xf>
    <xf numFmtId="0" fontId="190" fillId="0" borderId="12" xfId="0" applyFont="1" applyBorder="1" applyAlignment="1" applyProtection="1">
      <alignment vertical="center"/>
      <protection locked="0"/>
    </xf>
    <xf numFmtId="175" fontId="186" fillId="0" borderId="12" xfId="0" applyNumberFormat="1" applyFont="1" applyBorder="1" applyAlignment="1" applyProtection="1">
      <alignment vertical="center"/>
      <protection locked="0"/>
    </xf>
    <xf numFmtId="0" fontId="186" fillId="0" borderId="12" xfId="0" applyFont="1" applyBorder="1" applyAlignment="1" applyProtection="1">
      <alignment horizontal="center"/>
      <protection locked="0"/>
    </xf>
    <xf numFmtId="0" fontId="186" fillId="0" borderId="12" xfId="0" applyFont="1" applyBorder="1" applyAlignment="1" applyProtection="1">
      <alignment vertical="center"/>
      <protection locked="0"/>
    </xf>
    <xf numFmtId="218" fontId="186" fillId="0" borderId="12" xfId="0" applyNumberFormat="1" applyFont="1" applyBorder="1" applyAlignment="1" applyProtection="1">
      <alignment horizontal="center" vertical="center"/>
      <protection locked="0"/>
    </xf>
    <xf numFmtId="218" fontId="187" fillId="0" borderId="12" xfId="0" applyNumberFormat="1" applyFont="1" applyBorder="1" applyAlignment="1" applyProtection="1">
      <alignment horizontal="center"/>
      <protection locked="0"/>
    </xf>
    <xf numFmtId="218" fontId="186" fillId="0" borderId="12" xfId="0" applyNumberFormat="1" applyFont="1" applyBorder="1" applyAlignment="1" applyProtection="1">
      <alignment horizontal="center"/>
      <protection locked="0"/>
    </xf>
    <xf numFmtId="218" fontId="189" fillId="0" borderId="12" xfId="0" applyNumberFormat="1" applyFont="1" applyBorder="1" applyAlignment="1" applyProtection="1">
      <alignment horizontal="center"/>
      <protection locked="0"/>
    </xf>
    <xf numFmtId="218" fontId="187" fillId="0" borderId="12" xfId="0" applyNumberFormat="1" applyFont="1" applyBorder="1" applyAlignment="1" applyProtection="1">
      <alignment horizontal="center" vertical="center"/>
      <protection locked="0"/>
    </xf>
    <xf numFmtId="175" fontId="189" fillId="0" borderId="12" xfId="0" applyNumberFormat="1" applyFont="1" applyBorder="1" applyAlignment="1" applyProtection="1">
      <alignment horizontal="center"/>
      <protection locked="0"/>
    </xf>
    <xf numFmtId="175" fontId="189" fillId="0" borderId="49" xfId="0" applyNumberFormat="1" applyFont="1" applyBorder="1" applyAlignment="1" applyProtection="1">
      <alignment horizontal="center"/>
      <protection locked="0"/>
    </xf>
    <xf numFmtId="0" fontId="186" fillId="40" borderId="30" xfId="0" applyFont="1" applyFill="1" applyBorder="1" applyProtection="1">
      <protection locked="0"/>
    </xf>
    <xf numFmtId="0" fontId="186" fillId="40" borderId="26" xfId="0" applyFont="1" applyFill="1" applyBorder="1" applyProtection="1">
      <protection locked="0"/>
    </xf>
    <xf numFmtId="0" fontId="190" fillId="40" borderId="26" xfId="0" applyFont="1" applyFill="1" applyBorder="1" applyAlignment="1" applyProtection="1">
      <alignment vertical="center"/>
      <protection locked="0"/>
    </xf>
    <xf numFmtId="175" fontId="186" fillId="40" borderId="27" xfId="0" applyNumberFormat="1" applyFont="1" applyFill="1" applyBorder="1" applyAlignment="1" applyProtection="1">
      <alignment vertical="center"/>
      <protection locked="0"/>
    </xf>
    <xf numFmtId="0" fontId="184" fillId="40" borderId="26" xfId="0" applyFont="1" applyFill="1" applyBorder="1" applyAlignment="1" applyProtection="1">
      <alignment horizontal="center" vertical="center" textRotation="90" wrapText="1"/>
      <protection locked="0"/>
    </xf>
    <xf numFmtId="0" fontId="184" fillId="40" borderId="45" xfId="0" applyFont="1" applyFill="1" applyBorder="1" applyAlignment="1" applyProtection="1">
      <alignment horizontal="center" vertical="center" wrapText="1"/>
      <protection locked="0"/>
    </xf>
    <xf numFmtId="0" fontId="184" fillId="40" borderId="33" xfId="0" applyFont="1" applyFill="1" applyBorder="1" applyAlignment="1">
      <alignment horizontal="center" vertical="center"/>
    </xf>
    <xf numFmtId="0" fontId="184" fillId="40" borderId="28" xfId="0" applyFont="1" applyFill="1" applyBorder="1" applyAlignment="1">
      <alignment horizontal="center" vertical="center"/>
    </xf>
    <xf numFmtId="0" fontId="186" fillId="40" borderId="52" xfId="0" quotePrefix="1" applyFont="1" applyFill="1" applyBorder="1" applyAlignment="1">
      <alignment horizontal="center" vertical="center"/>
    </xf>
    <xf numFmtId="0" fontId="186" fillId="40" borderId="61" xfId="0" quotePrefix="1" applyFont="1" applyFill="1" applyBorder="1" applyAlignment="1">
      <alignment horizontal="center" vertical="center"/>
    </xf>
    <xf numFmtId="0" fontId="190" fillId="40" borderId="61" xfId="0" quotePrefix="1" applyFont="1" applyFill="1" applyBorder="1" applyAlignment="1">
      <alignment horizontal="center" vertical="center"/>
    </xf>
    <xf numFmtId="0" fontId="186" fillId="40" borderId="60" xfId="0" applyFont="1" applyFill="1" applyBorder="1" applyAlignment="1">
      <alignment horizontal="center" vertical="center"/>
    </xf>
    <xf numFmtId="0" fontId="184" fillId="40" borderId="96" xfId="0" applyFont="1" applyFill="1" applyBorder="1" applyAlignment="1">
      <alignment horizontal="center" textRotation="90"/>
    </xf>
    <xf numFmtId="0" fontId="184" fillId="40" borderId="32" xfId="0" applyFont="1" applyFill="1" applyBorder="1" applyAlignment="1" applyProtection="1">
      <alignment horizontal="center" vertical="center" wrapText="1"/>
      <protection locked="0"/>
    </xf>
    <xf numFmtId="0" fontId="184" fillId="40" borderId="61" xfId="0" applyFont="1" applyFill="1" applyBorder="1" applyAlignment="1" applyProtection="1">
      <alignment horizontal="center" vertical="center" wrapText="1"/>
      <protection locked="0"/>
    </xf>
    <xf numFmtId="218" fontId="184" fillId="40" borderId="62" xfId="0" applyNumberFormat="1" applyFont="1" applyFill="1" applyBorder="1" applyAlignment="1" applyProtection="1">
      <alignment horizontal="center" vertical="center"/>
      <protection locked="0"/>
    </xf>
    <xf numFmtId="218" fontId="185" fillId="40" borderId="29" xfId="0" applyNumberFormat="1" applyFont="1" applyFill="1" applyBorder="1" applyAlignment="1" applyProtection="1">
      <alignment horizontal="center" vertical="center"/>
      <protection locked="0"/>
    </xf>
    <xf numFmtId="218" fontId="184" fillId="40" borderId="57" xfId="0" applyNumberFormat="1" applyFont="1" applyFill="1" applyBorder="1" applyAlignment="1" applyProtection="1">
      <alignment horizontal="center" vertical="center"/>
      <protection locked="0"/>
    </xf>
    <xf numFmtId="218" fontId="184" fillId="40" borderId="29" xfId="0" applyNumberFormat="1" applyFont="1" applyFill="1" applyBorder="1" applyAlignment="1" applyProtection="1">
      <alignment horizontal="center" vertical="center"/>
      <protection locked="0"/>
    </xf>
    <xf numFmtId="218" fontId="184" fillId="40" borderId="64" xfId="0" applyNumberFormat="1" applyFont="1" applyFill="1" applyBorder="1" applyAlignment="1" applyProtection="1">
      <alignment horizontal="center" vertical="center"/>
      <protection locked="0"/>
    </xf>
    <xf numFmtId="174" fontId="184" fillId="40" borderId="29" xfId="0" applyNumberFormat="1" applyFont="1" applyFill="1" applyBorder="1" applyAlignment="1" applyProtection="1">
      <alignment horizontal="center" vertical="center"/>
      <protection locked="0"/>
    </xf>
    <xf numFmtId="171" fontId="188" fillId="40" borderId="29" xfId="0" applyNumberFormat="1" applyFont="1" applyFill="1" applyBorder="1" applyAlignment="1" applyProtection="1">
      <alignment horizontal="center" vertical="center"/>
      <protection locked="0"/>
    </xf>
    <xf numFmtId="174" fontId="184" fillId="40" borderId="95" xfId="0" applyNumberFormat="1" applyFont="1" applyFill="1" applyBorder="1" applyAlignment="1" applyProtection="1">
      <alignment horizontal="center" vertical="center"/>
      <protection locked="0"/>
    </xf>
    <xf numFmtId="0" fontId="3" fillId="46" borderId="0" xfId="0" applyFont="1" applyFill="1"/>
    <xf numFmtId="0" fontId="3" fillId="43" borderId="0" xfId="0" applyFont="1" applyFill="1"/>
    <xf numFmtId="0" fontId="3" fillId="0" borderId="61" xfId="0" applyFont="1" applyBorder="1"/>
    <xf numFmtId="0" fontId="186" fillId="0" borderId="67" xfId="0" applyFont="1" applyBorder="1" applyAlignment="1" applyProtection="1">
      <alignment horizontal="left" vertical="center"/>
      <protection locked="0"/>
    </xf>
    <xf numFmtId="0" fontId="186" fillId="0" borderId="94" xfId="0" applyFont="1" applyBorder="1" applyAlignment="1" applyProtection="1">
      <alignment horizontal="left" vertical="center"/>
      <protection locked="0"/>
    </xf>
    <xf numFmtId="0" fontId="191" fillId="0" borderId="94" xfId="1258" applyFont="1" applyBorder="1" applyAlignment="1">
      <alignment horizontal="left" vertical="center"/>
    </xf>
    <xf numFmtId="0" fontId="184" fillId="0" borderId="78" xfId="0" applyFont="1" applyBorder="1" applyAlignment="1" applyProtection="1">
      <alignment horizontal="center" vertical="center"/>
      <protection locked="0"/>
    </xf>
    <xf numFmtId="0" fontId="3" fillId="0" borderId="68" xfId="0" applyFont="1" applyBorder="1"/>
    <xf numFmtId="0" fontId="184" fillId="0" borderId="68" xfId="0" applyFont="1" applyBorder="1" applyAlignment="1" applyProtection="1">
      <alignment horizontal="center" vertical="center"/>
      <protection locked="0"/>
    </xf>
    <xf numFmtId="218" fontId="184" fillId="0" borderId="68" xfId="0" applyNumberFormat="1" applyFont="1" applyBorder="1" applyAlignment="1" applyProtection="1">
      <alignment horizontal="center" vertical="center"/>
      <protection locked="0"/>
    </xf>
    <xf numFmtId="218" fontId="185" fillId="0" borderId="68" xfId="0" applyNumberFormat="1" applyFont="1" applyBorder="1" applyAlignment="1" applyProtection="1">
      <alignment horizontal="center" vertical="center"/>
      <protection locked="0"/>
    </xf>
    <xf numFmtId="217" fontId="186" fillId="0" borderId="68" xfId="1511" applyNumberFormat="1" applyFont="1" applyBorder="1" applyAlignment="1">
      <alignment horizontal="center" vertical="center"/>
    </xf>
    <xf numFmtId="171" fontId="184" fillId="0" borderId="69" xfId="1582" applyNumberFormat="1" applyFont="1" applyBorder="1" applyAlignment="1" applyProtection="1">
      <alignment horizontal="center" vertical="center"/>
      <protection locked="0"/>
    </xf>
    <xf numFmtId="10" fontId="184" fillId="0" borderId="70" xfId="0" applyNumberFormat="1" applyFont="1" applyBorder="1" applyAlignment="1" applyProtection="1">
      <alignment horizontal="center" vertical="center"/>
      <protection locked="0"/>
    </xf>
    <xf numFmtId="0" fontId="186" fillId="45" borderId="97" xfId="0" quotePrefix="1" applyFont="1" applyFill="1" applyBorder="1" applyAlignment="1" applyProtection="1">
      <alignment horizontal="center" vertical="center"/>
      <protection locked="0"/>
    </xf>
    <xf numFmtId="10" fontId="184" fillId="45" borderId="97" xfId="1582" applyNumberFormat="1" applyFont="1" applyFill="1" applyBorder="1" applyAlignment="1" applyProtection="1">
      <alignment horizontal="center" vertical="center"/>
      <protection locked="0"/>
    </xf>
    <xf numFmtId="0" fontId="184" fillId="45" borderId="97" xfId="1582" applyNumberFormat="1" applyFont="1" applyFill="1" applyBorder="1" applyAlignment="1" applyProtection="1">
      <alignment horizontal="center" vertical="center"/>
      <protection locked="0"/>
    </xf>
    <xf numFmtId="218" fontId="186" fillId="45" borderId="97" xfId="0" applyNumberFormat="1" applyFont="1" applyFill="1" applyBorder="1" applyAlignment="1">
      <alignment horizontal="center" vertical="center"/>
    </xf>
    <xf numFmtId="218" fontId="187" fillId="45" borderId="97" xfId="0" applyNumberFormat="1" applyFont="1" applyFill="1" applyBorder="1" applyAlignment="1">
      <alignment horizontal="center"/>
    </xf>
    <xf numFmtId="218" fontId="186" fillId="45" borderId="97" xfId="0" applyNumberFormat="1" applyFont="1" applyFill="1" applyBorder="1" applyAlignment="1">
      <alignment horizontal="center"/>
    </xf>
    <xf numFmtId="218" fontId="187" fillId="45" borderId="97" xfId="0" applyNumberFormat="1" applyFont="1" applyFill="1" applyBorder="1" applyAlignment="1">
      <alignment horizontal="center" vertical="center"/>
    </xf>
    <xf numFmtId="175" fontId="186" fillId="45" borderId="97" xfId="0" applyNumberFormat="1" applyFont="1" applyFill="1" applyBorder="1" applyAlignment="1">
      <alignment horizontal="center"/>
    </xf>
    <xf numFmtId="0" fontId="184" fillId="44" borderId="97" xfId="0" applyFont="1" applyFill="1" applyBorder="1" applyAlignment="1">
      <alignment horizontal="center" vertical="center"/>
    </xf>
    <xf numFmtId="0" fontId="184" fillId="44" borderId="97" xfId="0" applyFont="1" applyFill="1" applyBorder="1" applyAlignment="1">
      <alignment horizontal="left" vertical="center"/>
    </xf>
    <xf numFmtId="0" fontId="3" fillId="43" borderId="97" xfId="0" applyFont="1" applyFill="1" applyBorder="1"/>
    <xf numFmtId="10" fontId="3" fillId="43" borderId="97" xfId="0" applyNumberFormat="1" applyFont="1" applyFill="1" applyBorder="1" applyAlignment="1">
      <alignment horizontal="center"/>
    </xf>
    <xf numFmtId="0" fontId="3" fillId="0" borderId="97" xfId="0" applyFont="1" applyBorder="1"/>
    <xf numFmtId="0" fontId="186" fillId="0" borderId="97" xfId="0" quotePrefix="1" applyFont="1" applyBorder="1" applyAlignment="1">
      <alignment vertical="center"/>
    </xf>
    <xf numFmtId="10" fontId="3" fillId="0" borderId="97" xfId="1582" applyNumberFormat="1" applyFont="1" applyBorder="1" applyAlignment="1">
      <alignment horizontal="center"/>
    </xf>
    <xf numFmtId="10" fontId="3" fillId="0" borderId="97" xfId="0" applyNumberFormat="1" applyFont="1" applyBorder="1" applyAlignment="1">
      <alignment horizontal="center"/>
    </xf>
    <xf numFmtId="0" fontId="186" fillId="0" borderId="97" xfId="0" applyFont="1" applyBorder="1"/>
    <xf numFmtId="10" fontId="186" fillId="0" borderId="97" xfId="1582" applyNumberFormat="1" applyFont="1" applyBorder="1" applyAlignment="1">
      <alignment horizontal="center" vertical="center"/>
    </xf>
    <xf numFmtId="0" fontId="186" fillId="0" borderId="97" xfId="0" applyFont="1" applyBorder="1" applyAlignment="1">
      <alignment vertical="center"/>
    </xf>
    <xf numFmtId="221" fontId="186" fillId="0" borderId="97" xfId="1582" applyNumberFormat="1" applyFont="1" applyBorder="1" applyAlignment="1">
      <alignment horizontal="center" vertical="center"/>
    </xf>
    <xf numFmtId="0" fontId="184" fillId="45" borderId="98" xfId="0" applyFont="1" applyFill="1" applyBorder="1" applyAlignment="1">
      <alignment horizontal="left" vertical="center"/>
    </xf>
    <xf numFmtId="0" fontId="186" fillId="45" borderId="99" xfId="0" applyFont="1" applyFill="1" applyBorder="1" applyAlignment="1" applyProtection="1">
      <alignment horizontal="left" vertical="center"/>
      <protection locked="0"/>
    </xf>
    <xf numFmtId="0" fontId="184" fillId="44" borderId="100" xfId="0" applyFont="1" applyFill="1" applyBorder="1" applyAlignment="1">
      <alignment horizontal="left" vertical="center"/>
    </xf>
    <xf numFmtId="0" fontId="184" fillId="45" borderId="101" xfId="0" quotePrefix="1" applyFont="1" applyFill="1" applyBorder="1" applyAlignment="1">
      <alignment horizontal="left" vertical="center"/>
    </xf>
    <xf numFmtId="0" fontId="3" fillId="0" borderId="28" xfId="0" applyFont="1" applyBorder="1"/>
    <xf numFmtId="0" fontId="3" fillId="0" borderId="33" xfId="0" applyFont="1" applyBorder="1"/>
    <xf numFmtId="0" fontId="184" fillId="45" borderId="102" xfId="0" applyFont="1" applyFill="1" applyBorder="1" applyAlignment="1">
      <alignment horizontal="left" vertical="center"/>
    </xf>
    <xf numFmtId="0" fontId="3" fillId="46" borderId="28" xfId="0" applyFont="1" applyFill="1" applyBorder="1"/>
    <xf numFmtId="0" fontId="184" fillId="44" borderId="102" xfId="0" applyFont="1" applyFill="1" applyBorder="1" applyAlignment="1">
      <alignment horizontal="center" vertical="center"/>
    </xf>
    <xf numFmtId="0" fontId="3" fillId="43" borderId="28" xfId="0" applyFont="1" applyFill="1" applyBorder="1"/>
    <xf numFmtId="0" fontId="186" fillId="0" borderId="102" xfId="0" applyFont="1" applyBorder="1" applyAlignment="1">
      <alignment horizontal="center"/>
    </xf>
    <xf numFmtId="0" fontId="186" fillId="0" borderId="102" xfId="0" applyFont="1" applyBorder="1" applyAlignment="1">
      <alignment horizontal="center" vertical="center"/>
    </xf>
    <xf numFmtId="0" fontId="3" fillId="0" borderId="12" xfId="0" applyFont="1" applyBorder="1"/>
    <xf numFmtId="0" fontId="3" fillId="0" borderId="49" xfId="0" applyFont="1" applyBorder="1"/>
    <xf numFmtId="0" fontId="7" fillId="0" borderId="0" xfId="0" applyFont="1" applyAlignment="1" applyProtection="1">
      <alignment horizontal="center"/>
      <protection locked="0"/>
    </xf>
    <xf numFmtId="0" fontId="7" fillId="0" borderId="27" xfId="0" applyFont="1" applyBorder="1" applyAlignment="1" applyProtection="1">
      <alignment horizontal="center"/>
      <protection locked="0"/>
    </xf>
    <xf numFmtId="0" fontId="3" fillId="46" borderId="33" xfId="0" applyFont="1" applyFill="1" applyBorder="1"/>
    <xf numFmtId="0" fontId="3" fillId="43" borderId="33" xfId="0" applyFont="1" applyFill="1" applyBorder="1"/>
    <xf numFmtId="0" fontId="3" fillId="0" borderId="36" xfId="0" applyFont="1" applyBorder="1"/>
    <xf numFmtId="173" fontId="114" fillId="47" borderId="0" xfId="0" applyNumberFormat="1" applyFont="1" applyFill="1" applyProtection="1">
      <protection locked="0"/>
    </xf>
    <xf numFmtId="173" fontId="114" fillId="47" borderId="12" xfId="0" applyNumberFormat="1" applyFont="1" applyFill="1" applyBorder="1" applyProtection="1">
      <protection locked="0"/>
    </xf>
    <xf numFmtId="173" fontId="168" fillId="43" borderId="0" xfId="0" applyNumberFormat="1" applyFont="1" applyFill="1"/>
    <xf numFmtId="173" fontId="168" fillId="43" borderId="28" xfId="0" applyNumberFormat="1" applyFont="1" applyFill="1" applyBorder="1"/>
    <xf numFmtId="173" fontId="114" fillId="0" borderId="28" xfId="0" applyNumberFormat="1" applyFont="1" applyBorder="1" applyProtection="1">
      <protection locked="0"/>
    </xf>
    <xf numFmtId="173" fontId="114" fillId="0" borderId="49" xfId="0" applyNumberFormat="1" applyFont="1" applyBorder="1" applyProtection="1">
      <protection locked="0"/>
    </xf>
    <xf numFmtId="173" fontId="192" fillId="46" borderId="0" xfId="0" applyNumberFormat="1" applyFont="1" applyFill="1"/>
    <xf numFmtId="0" fontId="7" fillId="0" borderId="0" xfId="0" applyFont="1" applyAlignment="1">
      <alignment horizontal="center"/>
    </xf>
    <xf numFmtId="216" fontId="193" fillId="0" borderId="0" xfId="1582" applyNumberFormat="1" applyFont="1"/>
    <xf numFmtId="216" fontId="192" fillId="0" borderId="0" xfId="0" applyNumberFormat="1" applyFont="1"/>
    <xf numFmtId="10" fontId="3" fillId="0" borderId="0" xfId="0" applyNumberFormat="1" applyFont="1" applyAlignment="1">
      <alignment horizontal="left"/>
    </xf>
    <xf numFmtId="216" fontId="193" fillId="0" borderId="0" xfId="0" applyNumberFormat="1" applyFont="1"/>
    <xf numFmtId="9" fontId="3" fillId="0" borderId="0" xfId="0" applyNumberFormat="1" applyFont="1" applyAlignment="1">
      <alignment horizontal="right"/>
    </xf>
    <xf numFmtId="9" fontId="3" fillId="0" borderId="0" xfId="1582" applyFont="1" applyBorder="1" applyAlignment="1">
      <alignment horizontal="right"/>
    </xf>
    <xf numFmtId="0" fontId="3" fillId="43" borderId="0" xfId="0" applyFont="1" applyFill="1" applyAlignment="1">
      <alignment horizontal="right"/>
    </xf>
    <xf numFmtId="0" fontId="3" fillId="43" borderId="103" xfId="0" applyFont="1" applyFill="1" applyBorder="1"/>
    <xf numFmtId="10" fontId="3" fillId="0" borderId="103" xfId="0" applyNumberFormat="1" applyFont="1" applyBorder="1"/>
    <xf numFmtId="10" fontId="169" fillId="0" borderId="69" xfId="1582" applyNumberFormat="1" applyFont="1" applyBorder="1" applyAlignment="1" applyProtection="1">
      <alignment horizontal="center" vertical="center"/>
      <protection locked="0"/>
    </xf>
    <xf numFmtId="174" fontId="7" fillId="40" borderId="57" xfId="0" applyNumberFormat="1" applyFont="1" applyFill="1" applyBorder="1" applyAlignment="1" applyProtection="1">
      <alignment horizontal="center" vertical="center"/>
      <protection locked="0"/>
    </xf>
    <xf numFmtId="10" fontId="7" fillId="40" borderId="51" xfId="1582" applyNumberFormat="1" applyFont="1" applyFill="1" applyBorder="1" applyAlignment="1" applyProtection="1">
      <alignment horizontal="center" vertical="center"/>
      <protection locked="0"/>
    </xf>
    <xf numFmtId="10" fontId="7" fillId="40" borderId="105" xfId="1582" applyNumberFormat="1" applyFont="1" applyFill="1" applyBorder="1" applyAlignment="1" applyProtection="1">
      <alignment horizontal="center" vertical="center" wrapText="1"/>
      <protection locked="0"/>
    </xf>
    <xf numFmtId="10" fontId="7" fillId="40" borderId="60" xfId="1582" applyNumberFormat="1" applyFont="1" applyFill="1" applyBorder="1" applyAlignment="1" applyProtection="1">
      <alignment horizontal="centerContinuous" vertical="center"/>
      <protection locked="0"/>
    </xf>
    <xf numFmtId="9" fontId="15" fillId="0" borderId="33" xfId="1582" applyFont="1" applyFill="1" applyBorder="1" applyAlignment="1" applyProtection="1">
      <alignment horizontal="right" vertical="center"/>
      <protection locked="0"/>
    </xf>
    <xf numFmtId="9" fontId="3" fillId="0" borderId="0" xfId="1582" applyFont="1" applyBorder="1"/>
    <xf numFmtId="9" fontId="3" fillId="0" borderId="0" xfId="0" applyNumberFormat="1" applyFont="1"/>
    <xf numFmtId="9" fontId="3" fillId="0" borderId="28" xfId="0" applyNumberFormat="1" applyFont="1" applyBorder="1"/>
    <xf numFmtId="0" fontId="3" fillId="43" borderId="33" xfId="0" applyFont="1" applyFill="1" applyBorder="1" applyAlignment="1">
      <alignment horizontal="right"/>
    </xf>
    <xf numFmtId="10" fontId="7" fillId="40" borderId="106" xfId="1582" applyNumberFormat="1" applyFont="1" applyFill="1" applyBorder="1" applyAlignment="1" applyProtection="1">
      <alignment horizontal="center" vertical="center"/>
      <protection locked="0"/>
    </xf>
    <xf numFmtId="10" fontId="7" fillId="40" borderId="62" xfId="1582" applyNumberFormat="1" applyFont="1" applyFill="1" applyBorder="1" applyAlignment="1" applyProtection="1">
      <alignment horizontal="center" vertical="center"/>
      <protection locked="0"/>
    </xf>
    <xf numFmtId="10" fontId="3" fillId="0" borderId="33" xfId="0" applyNumberFormat="1" applyFont="1" applyBorder="1"/>
    <xf numFmtId="10" fontId="3" fillId="0" borderId="0" xfId="0" applyNumberFormat="1" applyFont="1"/>
    <xf numFmtId="10" fontId="3" fillId="0" borderId="28" xfId="0" applyNumberFormat="1" applyFont="1" applyBorder="1"/>
    <xf numFmtId="0" fontId="3" fillId="0" borderId="52" xfId="0" applyFont="1" applyBorder="1"/>
    <xf numFmtId="0" fontId="3" fillId="0" borderId="60" xfId="0" applyFont="1" applyBorder="1"/>
    <xf numFmtId="0" fontId="184" fillId="40" borderId="0" xfId="0" applyFont="1" applyFill="1" applyAlignment="1">
      <alignment horizontal="center" vertical="center"/>
    </xf>
    <xf numFmtId="0" fontId="190" fillId="40" borderId="0" xfId="0" applyFont="1" applyFill="1" applyAlignment="1">
      <alignment horizontal="center" vertical="center"/>
    </xf>
    <xf numFmtId="0" fontId="184" fillId="40" borderId="0" xfId="0" applyFont="1" applyFill="1" applyAlignment="1" applyProtection="1">
      <alignment horizontal="center" vertical="center" textRotation="90" wrapText="1"/>
      <protection locked="0"/>
    </xf>
    <xf numFmtId="0" fontId="3" fillId="0" borderId="74" xfId="0" applyFont="1" applyBorder="1"/>
    <xf numFmtId="175" fontId="186" fillId="45" borderId="103" xfId="0" applyNumberFormat="1" applyFont="1" applyFill="1" applyBorder="1" applyAlignment="1">
      <alignment horizontal="center"/>
    </xf>
    <xf numFmtId="10" fontId="169" fillId="0" borderId="36" xfId="0" applyNumberFormat="1" applyFont="1" applyBorder="1" applyAlignment="1">
      <alignment horizontal="center"/>
    </xf>
    <xf numFmtId="10" fontId="169" fillId="0" borderId="12" xfId="0" applyNumberFormat="1" applyFont="1" applyBorder="1" applyAlignment="1">
      <alignment horizontal="center"/>
    </xf>
    <xf numFmtId="10" fontId="169" fillId="0" borderId="49" xfId="0" applyNumberFormat="1" applyFont="1" applyBorder="1" applyAlignment="1">
      <alignment horizontal="center"/>
    </xf>
    <xf numFmtId="10" fontId="169" fillId="0" borderId="49" xfId="1582" applyNumberFormat="1" applyFont="1" applyBorder="1" applyAlignment="1" applyProtection="1">
      <alignment horizontal="center" vertical="center"/>
      <protection locked="0"/>
    </xf>
    <xf numFmtId="220" fontId="3" fillId="0" borderId="97" xfId="0" applyNumberFormat="1" applyFont="1" applyBorder="1"/>
    <xf numFmtId="220" fontId="3" fillId="43" borderId="97" xfId="0" applyNumberFormat="1" applyFont="1" applyFill="1" applyBorder="1"/>
    <xf numFmtId="220" fontId="3" fillId="0" borderId="38" xfId="0" applyNumberFormat="1" applyFont="1" applyBorder="1" applyAlignment="1">
      <alignment horizontal="center" vertical="center"/>
    </xf>
    <xf numFmtId="220" fontId="3" fillId="43" borderId="97" xfId="0" applyNumberFormat="1" applyFont="1" applyFill="1" applyBorder="1" applyAlignment="1">
      <alignment horizontal="center"/>
    </xf>
    <xf numFmtId="220" fontId="3" fillId="0" borderId="97" xfId="0" applyNumberFormat="1" applyFont="1" applyBorder="1" applyAlignment="1">
      <alignment horizontal="center"/>
    </xf>
    <xf numFmtId="220" fontId="3" fillId="0" borderId="97" xfId="0" applyNumberFormat="1" applyFont="1" applyBorder="1" applyAlignment="1">
      <alignment horizontal="center" vertical="center"/>
    </xf>
    <xf numFmtId="220" fontId="3" fillId="43" borderId="97" xfId="0" applyNumberFormat="1" applyFont="1" applyFill="1" applyBorder="1" applyAlignment="1">
      <alignment horizontal="center" vertical="center"/>
    </xf>
    <xf numFmtId="172" fontId="194" fillId="0" borderId="33" xfId="0" applyNumberFormat="1" applyFont="1" applyBorder="1" applyAlignment="1" applyProtection="1">
      <alignment horizontal="center"/>
      <protection locked="0"/>
    </xf>
    <xf numFmtId="172" fontId="122" fillId="0" borderId="28" xfId="0" applyNumberFormat="1" applyFont="1" applyBorder="1" applyAlignment="1" applyProtection="1">
      <alignment horizontal="center"/>
      <protection locked="0"/>
    </xf>
    <xf numFmtId="172" fontId="194" fillId="0" borderId="26" xfId="0" applyNumberFormat="1" applyFont="1" applyBorder="1" applyAlignment="1" applyProtection="1">
      <alignment horizontal="center"/>
      <protection locked="0"/>
    </xf>
    <xf numFmtId="172" fontId="122" fillId="0" borderId="27" xfId="0" applyNumberFormat="1" applyFont="1" applyBorder="1" applyAlignment="1" applyProtection="1">
      <alignment horizontal="center"/>
      <protection locked="0"/>
    </xf>
    <xf numFmtId="0" fontId="11" fillId="0" borderId="30" xfId="0" applyFont="1" applyBorder="1" applyAlignment="1">
      <alignment vertical="center" textRotation="90"/>
    </xf>
    <xf numFmtId="0" fontId="15" fillId="0" borderId="30" xfId="0" applyFont="1" applyBorder="1"/>
    <xf numFmtId="0" fontId="15" fillId="0" borderId="27" xfId="0" applyFont="1" applyBorder="1"/>
    <xf numFmtId="0" fontId="15" fillId="0" borderId="26" xfId="0" applyFont="1" applyBorder="1"/>
    <xf numFmtId="0" fontId="15" fillId="0" borderId="33" xfId="0" applyFont="1" applyBorder="1"/>
    <xf numFmtId="0" fontId="15" fillId="0" borderId="28" xfId="0" applyFont="1" applyBorder="1"/>
    <xf numFmtId="0" fontId="15" fillId="0" borderId="0" xfId="0" applyFont="1"/>
    <xf numFmtId="10" fontId="195" fillId="48" borderId="0" xfId="1582" applyNumberFormat="1" applyFont="1" applyFill="1" applyBorder="1"/>
    <xf numFmtId="10" fontId="170" fillId="43" borderId="0" xfId="1582" applyNumberFormat="1" applyFont="1" applyFill="1" applyBorder="1"/>
    <xf numFmtId="10" fontId="196" fillId="0" borderId="0" xfId="1582" applyNumberFormat="1" applyFont="1" applyBorder="1"/>
    <xf numFmtId="0" fontId="11" fillId="45" borderId="33" xfId="0" applyFont="1" applyFill="1" applyBorder="1" applyAlignment="1">
      <alignment horizontal="left" vertical="center"/>
    </xf>
    <xf numFmtId="10" fontId="195" fillId="48" borderId="28" xfId="1582" applyNumberFormat="1" applyFont="1" applyFill="1" applyBorder="1"/>
    <xf numFmtId="0" fontId="11" fillId="44" borderId="33" xfId="0" applyFont="1" applyFill="1" applyBorder="1" applyAlignment="1">
      <alignment horizontal="center" vertical="center"/>
    </xf>
    <xf numFmtId="10" fontId="170" fillId="43" borderId="28" xfId="1582" applyNumberFormat="1" applyFont="1" applyFill="1" applyBorder="1"/>
    <xf numFmtId="10" fontId="196" fillId="0" borderId="28" xfId="1582" applyNumberFormat="1" applyFont="1" applyBorder="1"/>
    <xf numFmtId="0" fontId="15" fillId="0" borderId="33" xfId="0" applyFont="1" applyBorder="1" applyAlignment="1">
      <alignment horizontal="center" vertical="center"/>
    </xf>
    <xf numFmtId="171" fontId="184" fillId="0" borderId="67" xfId="1582" applyNumberFormat="1" applyFont="1" applyBorder="1" applyAlignment="1" applyProtection="1">
      <alignment horizontal="center" vertical="center"/>
      <protection locked="0"/>
    </xf>
    <xf numFmtId="10" fontId="195" fillId="48" borderId="33" xfId="1582" applyNumberFormat="1" applyFont="1" applyFill="1" applyBorder="1"/>
    <xf numFmtId="10" fontId="170" fillId="43" borderId="33" xfId="1582" applyNumberFormat="1" applyFont="1" applyFill="1" applyBorder="1"/>
    <xf numFmtId="10" fontId="196" fillId="0" borderId="33" xfId="1582" applyNumberFormat="1" applyFont="1" applyBorder="1"/>
    <xf numFmtId="10" fontId="196" fillId="0" borderId="28" xfId="0" applyNumberFormat="1" applyFont="1" applyBorder="1"/>
    <xf numFmtId="10" fontId="185" fillId="0" borderId="108" xfId="1582" applyNumberFormat="1" applyFont="1" applyBorder="1" applyAlignment="1" applyProtection="1">
      <alignment horizontal="center" vertical="center"/>
      <protection locked="0"/>
    </xf>
    <xf numFmtId="10" fontId="169" fillId="0" borderId="108" xfId="1582" applyNumberFormat="1" applyFont="1" applyBorder="1" applyAlignment="1" applyProtection="1">
      <alignment horizontal="center" vertical="center"/>
      <protection locked="0"/>
    </xf>
    <xf numFmtId="0" fontId="174" fillId="0" borderId="0" xfId="1867" applyFont="1" applyAlignment="1">
      <alignment horizontal="center"/>
    </xf>
    <xf numFmtId="0" fontId="174" fillId="0" borderId="0" xfId="1867" applyFont="1" applyAlignment="1">
      <alignment horizontal="left"/>
    </xf>
    <xf numFmtId="0" fontId="174" fillId="0" borderId="0" xfId="1867" quotePrefix="1" applyFont="1" applyAlignment="1">
      <alignment horizontal="left"/>
    </xf>
    <xf numFmtId="222" fontId="174" fillId="0" borderId="0" xfId="1867" applyNumberFormat="1" applyFont="1"/>
    <xf numFmtId="220" fontId="3" fillId="0" borderId="100" xfId="0" applyNumberFormat="1" applyFont="1" applyBorder="1" applyAlignment="1">
      <alignment horizontal="center"/>
    </xf>
    <xf numFmtId="0" fontId="0" fillId="0" borderId="0" xfId="0" applyAlignment="1">
      <alignment horizontal="center" vertical="center"/>
    </xf>
    <xf numFmtId="222" fontId="0" fillId="0" borderId="0" xfId="0" applyNumberFormat="1" applyAlignment="1">
      <alignment horizontal="center" vertical="center"/>
    </xf>
    <xf numFmtId="0" fontId="123" fillId="0" borderId="39" xfId="0" applyFont="1" applyBorder="1" applyAlignment="1">
      <alignment horizontal="center" vertical="center"/>
    </xf>
    <xf numFmtId="10" fontId="123" fillId="0" borderId="53" xfId="0" applyNumberFormat="1" applyFont="1" applyBorder="1" applyAlignment="1">
      <alignment horizontal="center" vertical="center"/>
    </xf>
    <xf numFmtId="0" fontId="8" fillId="0" borderId="53" xfId="0" applyFont="1" applyBorder="1" applyAlignment="1">
      <alignment horizontal="center" vertical="center"/>
    </xf>
    <xf numFmtId="0" fontId="123" fillId="0" borderId="92" xfId="0" applyFont="1" applyBorder="1" applyAlignment="1">
      <alignment horizontal="center" vertical="center"/>
    </xf>
    <xf numFmtId="0" fontId="123" fillId="0" borderId="93" xfId="0" applyFont="1" applyBorder="1" applyAlignment="1">
      <alignment horizontal="center" vertical="center"/>
    </xf>
    <xf numFmtId="10" fontId="162" fillId="0" borderId="77" xfId="1582" applyNumberFormat="1" applyFont="1" applyFill="1" applyBorder="1" applyAlignment="1">
      <alignment horizontal="center" vertical="center"/>
    </xf>
    <xf numFmtId="10" fontId="162" fillId="0" borderId="38" xfId="1582" applyNumberFormat="1" applyFont="1" applyFill="1" applyBorder="1" applyAlignment="1">
      <alignment horizontal="center" vertical="center"/>
    </xf>
    <xf numFmtId="0" fontId="73" fillId="0" borderId="43" xfId="0" applyFont="1" applyBorder="1" applyAlignment="1">
      <alignment horizontal="left" vertical="center" wrapText="1" indent="1"/>
    </xf>
    <xf numFmtId="0" fontId="3" fillId="0" borderId="0" xfId="0" applyFont="1" applyAlignment="1">
      <alignment horizontal="right" vertical="top"/>
    </xf>
    <xf numFmtId="0" fontId="3" fillId="0" borderId="0" xfId="0" applyFont="1" applyAlignment="1">
      <alignment horizontal="right" vertical="center"/>
    </xf>
    <xf numFmtId="222" fontId="3" fillId="0" borderId="0" xfId="0" applyNumberFormat="1" applyFont="1" applyAlignment="1">
      <alignment vertical="center"/>
    </xf>
    <xf numFmtId="0" fontId="7" fillId="0" borderId="0" xfId="0" applyFont="1" applyAlignment="1">
      <alignment vertical="center"/>
    </xf>
    <xf numFmtId="0" fontId="3" fillId="0" borderId="97" xfId="0" quotePrefix="1" applyFont="1" applyBorder="1"/>
    <xf numFmtId="222" fontId="174" fillId="0" borderId="0" xfId="1867" applyNumberFormat="1" applyFont="1" applyAlignment="1">
      <alignment horizontal="left"/>
    </xf>
    <xf numFmtId="9" fontId="197" fillId="40" borderId="50" xfId="1582" applyFont="1" applyFill="1" applyBorder="1" applyAlignment="1" applyProtection="1">
      <alignment vertical="center"/>
      <protection locked="0"/>
    </xf>
    <xf numFmtId="9" fontId="197" fillId="40" borderId="9" xfId="1582" applyFont="1" applyFill="1" applyBorder="1" applyAlignment="1" applyProtection="1">
      <alignment vertical="center"/>
      <protection locked="0"/>
    </xf>
    <xf numFmtId="9" fontId="197" fillId="40" borderId="8" xfId="1582" applyFont="1" applyFill="1" applyBorder="1" applyAlignment="1" applyProtection="1">
      <alignment vertical="center"/>
      <protection locked="0"/>
    </xf>
    <xf numFmtId="9" fontId="197" fillId="40" borderId="84" xfId="1582" applyFont="1" applyFill="1" applyBorder="1" applyAlignment="1" applyProtection="1">
      <alignment vertical="center"/>
      <protection locked="0"/>
    </xf>
    <xf numFmtId="0" fontId="73" fillId="0" borderId="0" xfId="0" applyFont="1" applyAlignment="1">
      <alignment horizontal="right" vertical="center"/>
    </xf>
    <xf numFmtId="220" fontId="168" fillId="0" borderId="97" xfId="0" applyNumberFormat="1" applyFont="1" applyBorder="1" applyAlignment="1">
      <alignment horizontal="center" vertical="center"/>
    </xf>
    <xf numFmtId="0" fontId="3" fillId="0" borderId="97" xfId="0" applyFont="1" applyBorder="1" applyAlignment="1">
      <alignment horizontal="center"/>
    </xf>
    <xf numFmtId="220" fontId="0" fillId="0" borderId="97" xfId="0" applyNumberFormat="1" applyBorder="1" applyAlignment="1">
      <alignment horizontal="center" vertical="center"/>
    </xf>
    <xf numFmtId="0" fontId="0" fillId="0" borderId="30" xfId="0" applyBorder="1"/>
    <xf numFmtId="0" fontId="0" fillId="0" borderId="26" xfId="0" applyBorder="1"/>
    <xf numFmtId="0" fontId="0" fillId="0" borderId="27" xfId="0" applyBorder="1"/>
    <xf numFmtId="0" fontId="0" fillId="0" borderId="33" xfId="0" applyBorder="1"/>
    <xf numFmtId="0" fontId="0" fillId="0" borderId="28" xfId="0" applyBorder="1"/>
    <xf numFmtId="0" fontId="0" fillId="0" borderId="36" xfId="0" applyBorder="1"/>
    <xf numFmtId="0" fontId="0" fillId="0" borderId="12" xfId="0" applyBorder="1"/>
    <xf numFmtId="0" fontId="0" fillId="0" borderId="49" xfId="0" applyBorder="1"/>
    <xf numFmtId="0" fontId="8" fillId="49" borderId="39" xfId="0" applyFont="1" applyFill="1" applyBorder="1" applyAlignment="1">
      <alignment horizontal="center" vertical="center"/>
    </xf>
    <xf numFmtId="10" fontId="123" fillId="49" borderId="53" xfId="0" applyNumberFormat="1" applyFont="1" applyFill="1" applyBorder="1" applyAlignment="1">
      <alignment horizontal="center" vertical="center"/>
    </xf>
    <xf numFmtId="10" fontId="116" fillId="49" borderId="77" xfId="1582" applyNumberFormat="1" applyFont="1" applyFill="1" applyBorder="1" applyAlignment="1">
      <alignment horizontal="center" vertical="center"/>
    </xf>
    <xf numFmtId="10" fontId="12" fillId="49" borderId="38" xfId="1582" applyNumberFormat="1" applyFont="1" applyFill="1" applyBorder="1" applyAlignment="1">
      <alignment horizontal="center" vertical="center"/>
    </xf>
    <xf numFmtId="0" fontId="125" fillId="49" borderId="0" xfId="0" applyFont="1" applyFill="1" applyAlignment="1">
      <alignment horizontal="center" vertical="center"/>
    </xf>
    <xf numFmtId="0" fontId="8" fillId="50" borderId="39" xfId="0" applyFont="1" applyFill="1" applyBorder="1" applyAlignment="1">
      <alignment horizontal="center" vertical="center"/>
    </xf>
    <xf numFmtId="0" fontId="8" fillId="50" borderId="53" xfId="0" applyFont="1" applyFill="1" applyBorder="1" applyAlignment="1">
      <alignment horizontal="center" vertical="center"/>
    </xf>
    <xf numFmtId="10" fontId="116" fillId="50" borderId="77" xfId="1582" applyNumberFormat="1" applyFont="1" applyFill="1" applyBorder="1" applyAlignment="1">
      <alignment horizontal="center" vertical="center"/>
    </xf>
    <xf numFmtId="10" fontId="8" fillId="50" borderId="38" xfId="1582" applyNumberFormat="1" applyFont="1" applyFill="1" applyBorder="1" applyAlignment="1">
      <alignment horizontal="center" vertical="center"/>
    </xf>
    <xf numFmtId="0" fontId="8" fillId="50" borderId="0" xfId="0" applyFont="1" applyFill="1" applyAlignment="1">
      <alignment horizontal="center" vertical="center"/>
    </xf>
    <xf numFmtId="10" fontId="8" fillId="50" borderId="0" xfId="0" applyNumberFormat="1" applyFont="1" applyFill="1" applyAlignment="1">
      <alignment horizontal="center" vertical="center"/>
    </xf>
    <xf numFmtId="220" fontId="3" fillId="0" borderId="0" xfId="0" applyNumberFormat="1" applyFont="1"/>
    <xf numFmtId="0" fontId="198" fillId="51" borderId="102" xfId="0" applyFont="1" applyFill="1" applyBorder="1" applyAlignment="1">
      <alignment horizontal="center"/>
    </xf>
    <xf numFmtId="220" fontId="198" fillId="51" borderId="0" xfId="0" applyNumberFormat="1" applyFont="1" applyFill="1"/>
    <xf numFmtId="0" fontId="199" fillId="52" borderId="102" xfId="0" applyFont="1" applyFill="1" applyBorder="1" applyAlignment="1">
      <alignment horizontal="center" vertical="center"/>
    </xf>
    <xf numFmtId="0" fontId="198" fillId="51" borderId="102" xfId="0" applyFont="1" applyFill="1" applyBorder="1" applyAlignment="1">
      <alignment horizontal="center" vertical="center"/>
    </xf>
    <xf numFmtId="0" fontId="171" fillId="0" borderId="0" xfId="0" applyFont="1"/>
    <xf numFmtId="0" fontId="10" fillId="0" borderId="0" xfId="0" applyFont="1" applyAlignment="1">
      <alignment horizontal="justify" vertical="center"/>
    </xf>
    <xf numFmtId="223" fontId="0" fillId="0" borderId="0" xfId="1582" applyNumberFormat="1" applyFont="1"/>
    <xf numFmtId="224" fontId="0" fillId="0" borderId="0" xfId="1582" applyNumberFormat="1" applyFont="1"/>
    <xf numFmtId="10" fontId="3" fillId="46" borderId="0" xfId="1582" applyNumberFormat="1" applyFont="1" applyFill="1"/>
    <xf numFmtId="10" fontId="3" fillId="43" borderId="0" xfId="1582" applyNumberFormat="1" applyFont="1" applyFill="1"/>
    <xf numFmtId="10" fontId="3" fillId="0" borderId="0" xfId="1582" applyNumberFormat="1" applyFont="1"/>
    <xf numFmtId="0" fontId="3" fillId="0" borderId="6" xfId="0" applyFont="1" applyBorder="1" applyAlignment="1">
      <alignment vertical="top"/>
    </xf>
    <xf numFmtId="0" fontId="3" fillId="0" borderId="6" xfId="0" applyFont="1" applyBorder="1" applyAlignment="1">
      <alignment vertical="center"/>
    </xf>
    <xf numFmtId="9" fontId="3" fillId="0" borderId="6" xfId="1582" applyFont="1" applyBorder="1" applyAlignment="1">
      <alignment vertical="center"/>
    </xf>
    <xf numFmtId="216" fontId="3" fillId="46" borderId="0" xfId="1582" applyNumberFormat="1" applyFont="1" applyFill="1"/>
    <xf numFmtId="216" fontId="3" fillId="43" borderId="0" xfId="1582" applyNumberFormat="1" applyFont="1" applyFill="1"/>
    <xf numFmtId="216" fontId="3" fillId="0" borderId="0" xfId="1582" applyNumberFormat="1" applyFont="1"/>
    <xf numFmtId="0" fontId="7" fillId="38" borderId="0" xfId="0" applyFont="1" applyFill="1" applyAlignment="1" applyProtection="1">
      <alignment horizontal="center" vertical="center"/>
      <protection locked="0"/>
    </xf>
    <xf numFmtId="0" fontId="180" fillId="0" borderId="36" xfId="1867" applyFont="1" applyBorder="1" applyAlignment="1">
      <alignment horizontal="left" vertical="center"/>
    </xf>
    <xf numFmtId="0" fontId="180" fillId="0" borderId="12" xfId="1867" applyFont="1" applyBorder="1" applyAlignment="1">
      <alignment horizontal="left" vertical="center"/>
    </xf>
    <xf numFmtId="0" fontId="180" fillId="0" borderId="49" xfId="1867" applyFont="1" applyBorder="1" applyAlignment="1">
      <alignment horizontal="left" vertical="center"/>
    </xf>
    <xf numFmtId="0" fontId="180" fillId="0" borderId="55" xfId="1867" applyFont="1" applyBorder="1" applyAlignment="1">
      <alignment horizontal="left" vertical="center"/>
    </xf>
    <xf numFmtId="0" fontId="180" fillId="0" borderId="11" xfId="1867" applyFont="1" applyBorder="1" applyAlignment="1">
      <alignment horizontal="left" vertical="center"/>
    </xf>
    <xf numFmtId="0" fontId="180" fillId="0" borderId="81" xfId="1867" applyFont="1" applyBorder="1" applyAlignment="1">
      <alignment horizontal="left" vertical="center"/>
    </xf>
    <xf numFmtId="0" fontId="180" fillId="0" borderId="45" xfId="1867" applyFont="1" applyBorder="1" applyAlignment="1">
      <alignment horizontal="center"/>
    </xf>
    <xf numFmtId="0" fontId="180" fillId="0" borderId="35" xfId="1867" applyFont="1" applyBorder="1" applyAlignment="1">
      <alignment horizontal="center"/>
    </xf>
    <xf numFmtId="0" fontId="178" fillId="0" borderId="0" xfId="1867" applyFont="1" applyAlignment="1">
      <alignment horizontal="center" vertical="center"/>
    </xf>
    <xf numFmtId="0" fontId="178" fillId="0" borderId="30" xfId="1867" applyFont="1" applyBorder="1" applyAlignment="1">
      <alignment horizontal="center" vertical="center"/>
    </xf>
    <xf numFmtId="0" fontId="178" fillId="0" borderId="36" xfId="1867" applyFont="1" applyBorder="1" applyAlignment="1">
      <alignment horizontal="center" vertical="center"/>
    </xf>
    <xf numFmtId="0" fontId="178" fillId="0" borderId="26" xfId="1867" applyFont="1" applyBorder="1" applyAlignment="1">
      <alignment horizontal="center" vertical="center"/>
    </xf>
    <xf numFmtId="0" fontId="178" fillId="0" borderId="27" xfId="1867" applyFont="1" applyBorder="1" applyAlignment="1">
      <alignment horizontal="center" vertical="center"/>
    </xf>
    <xf numFmtId="0" fontId="178" fillId="0" borderId="12" xfId="1867" applyFont="1" applyBorder="1" applyAlignment="1">
      <alignment horizontal="center" vertical="center"/>
    </xf>
    <xf numFmtId="0" fontId="178" fillId="0" borderId="49" xfId="1867" applyFont="1" applyBorder="1" applyAlignment="1">
      <alignment horizontal="center" vertical="center"/>
    </xf>
    <xf numFmtId="0" fontId="178" fillId="0" borderId="55" xfId="1867" applyFont="1" applyBorder="1" applyAlignment="1">
      <alignment horizontal="center" vertical="center"/>
    </xf>
    <xf numFmtId="0" fontId="178" fillId="0" borderId="11" xfId="1867" applyFont="1" applyBorder="1" applyAlignment="1">
      <alignment horizontal="center" vertical="center"/>
    </xf>
    <xf numFmtId="0" fontId="178" fillId="0" borderId="81" xfId="1867" applyFont="1" applyBorder="1" applyAlignment="1">
      <alignment horizontal="center" vertical="center"/>
    </xf>
    <xf numFmtId="0" fontId="180" fillId="0" borderId="55" xfId="1867" applyFont="1" applyBorder="1" applyAlignment="1">
      <alignment horizontal="center" vertical="center"/>
    </xf>
    <xf numFmtId="0" fontId="180" fillId="0" borderId="11" xfId="1867" applyFont="1" applyBorder="1" applyAlignment="1">
      <alignment horizontal="center" vertical="center"/>
    </xf>
    <xf numFmtId="0" fontId="180" fillId="0" borderId="81" xfId="1867" applyFont="1" applyBorder="1" applyAlignment="1">
      <alignment horizontal="center" vertical="center"/>
    </xf>
    <xf numFmtId="220" fontId="180" fillId="0" borderId="55" xfId="1867" applyNumberFormat="1" applyFont="1" applyBorder="1" applyAlignment="1">
      <alignment horizontal="center" vertical="center"/>
    </xf>
    <xf numFmtId="220" fontId="180" fillId="0" borderId="11" xfId="1867" applyNumberFormat="1" applyFont="1" applyBorder="1" applyAlignment="1">
      <alignment horizontal="center" vertical="center"/>
    </xf>
    <xf numFmtId="220" fontId="180" fillId="0" borderId="81" xfId="1867" applyNumberFormat="1" applyFont="1" applyBorder="1" applyAlignment="1">
      <alignment horizontal="center" vertical="center"/>
    </xf>
    <xf numFmtId="0" fontId="178" fillId="0" borderId="35" xfId="1867" applyFont="1" applyBorder="1" applyAlignment="1">
      <alignment horizontal="center" vertical="center"/>
    </xf>
    <xf numFmtId="0" fontId="174" fillId="0" borderId="30" xfId="1867" applyFont="1" applyBorder="1" applyAlignment="1">
      <alignment horizontal="center"/>
    </xf>
    <xf numFmtId="0" fontId="174" fillId="0" borderId="26" xfId="1867" applyFont="1" applyBorder="1" applyAlignment="1">
      <alignment horizontal="center"/>
    </xf>
    <xf numFmtId="0" fontId="174" fillId="0" borderId="27" xfId="1867" applyFont="1" applyBorder="1" applyAlignment="1">
      <alignment horizontal="center"/>
    </xf>
    <xf numFmtId="0" fontId="175" fillId="0" borderId="30" xfId="1063" applyFont="1" applyBorder="1" applyAlignment="1">
      <alignment horizontal="center" vertical="center" wrapText="1"/>
    </xf>
    <xf numFmtId="0" fontId="175" fillId="0" borderId="27" xfId="1063" applyFont="1" applyBorder="1" applyAlignment="1">
      <alignment horizontal="center" vertical="center" wrapText="1"/>
    </xf>
    <xf numFmtId="0" fontId="175" fillId="0" borderId="33" xfId="1063" applyFont="1" applyBorder="1" applyAlignment="1">
      <alignment horizontal="center" vertical="center" wrapText="1"/>
    </xf>
    <xf numFmtId="0" fontId="175" fillId="0" borderId="28" xfId="1063" applyFont="1" applyBorder="1" applyAlignment="1">
      <alignment horizontal="center" vertical="center" wrapText="1"/>
    </xf>
    <xf numFmtId="0" fontId="175" fillId="0" borderId="36" xfId="1063" applyFont="1" applyBorder="1" applyAlignment="1">
      <alignment horizontal="center" vertical="center" wrapText="1"/>
    </xf>
    <xf numFmtId="0" fontId="175" fillId="0" borderId="49" xfId="1063" applyFont="1" applyBorder="1" applyAlignment="1">
      <alignment horizontal="center" vertical="center" wrapText="1"/>
    </xf>
    <xf numFmtId="0" fontId="4" fillId="0" borderId="55" xfId="1063" applyFont="1" applyBorder="1" applyAlignment="1">
      <alignment horizontal="center" vertical="center"/>
    </xf>
    <xf numFmtId="0" fontId="4" fillId="0" borderId="11" xfId="1063" applyFont="1" applyBorder="1" applyAlignment="1">
      <alignment horizontal="center" vertical="center"/>
    </xf>
    <xf numFmtId="0" fontId="4" fillId="0" borderId="81" xfId="1063" applyFont="1" applyBorder="1" applyAlignment="1">
      <alignment horizontal="center" vertical="center"/>
    </xf>
    <xf numFmtId="0" fontId="10" fillId="0" borderId="30" xfId="1063" applyFont="1" applyBorder="1" applyAlignment="1">
      <alignment horizontal="center" vertical="center" wrapText="1"/>
    </xf>
    <xf numFmtId="0" fontId="10" fillId="0" borderId="26" xfId="1063" applyFont="1" applyBorder="1" applyAlignment="1">
      <alignment horizontal="center" vertical="center" wrapText="1"/>
    </xf>
    <xf numFmtId="0" fontId="10" fillId="0" borderId="27" xfId="1063" applyFont="1" applyBorder="1" applyAlignment="1">
      <alignment horizontal="center" vertical="center" wrapText="1"/>
    </xf>
    <xf numFmtId="0" fontId="10" fillId="0" borderId="36" xfId="1063" applyFont="1" applyBorder="1" applyAlignment="1">
      <alignment horizontal="center" vertical="center" wrapText="1"/>
    </xf>
    <xf numFmtId="0" fontId="10" fillId="0" borderId="12" xfId="1063" applyFont="1" applyBorder="1" applyAlignment="1">
      <alignment horizontal="center" vertical="center" wrapText="1"/>
    </xf>
    <xf numFmtId="0" fontId="10" fillId="0" borderId="49" xfId="1063" applyFont="1" applyBorder="1" applyAlignment="1">
      <alignment horizontal="center" vertical="center" wrapText="1"/>
    </xf>
    <xf numFmtId="219" fontId="10" fillId="0" borderId="0" xfId="1063" quotePrefix="1" applyNumberFormat="1" applyFont="1" applyAlignment="1">
      <alignment horizontal="left" vertical="center" wrapText="1"/>
    </xf>
    <xf numFmtId="219" fontId="10" fillId="0" borderId="0" xfId="1063" applyNumberFormat="1" applyFont="1" applyAlignment="1">
      <alignment horizontal="left" vertical="center" wrapText="1"/>
    </xf>
    <xf numFmtId="219" fontId="10" fillId="0" borderId="28" xfId="1063" applyNumberFormat="1" applyFont="1" applyBorder="1" applyAlignment="1">
      <alignment horizontal="left" vertical="center" wrapText="1"/>
    </xf>
    <xf numFmtId="0" fontId="10" fillId="0" borderId="55" xfId="1063" applyFont="1" applyBorder="1" applyAlignment="1">
      <alignment horizontal="center" vertical="center" wrapText="1"/>
    </xf>
    <xf numFmtId="0" fontId="10" fillId="0" borderId="11" xfId="1063" applyFont="1" applyBorder="1" applyAlignment="1">
      <alignment horizontal="center" vertical="center" wrapText="1"/>
    </xf>
    <xf numFmtId="0" fontId="10" fillId="0" borderId="81" xfId="1063" applyFont="1" applyBorder="1" applyAlignment="1">
      <alignment horizontal="center" vertical="center" wrapText="1"/>
    </xf>
    <xf numFmtId="14" fontId="10" fillId="0" borderId="0" xfId="1063" quotePrefix="1" applyNumberFormat="1" applyFont="1" applyAlignment="1">
      <alignment horizontal="left" vertical="center"/>
    </xf>
    <xf numFmtId="14" fontId="10" fillId="0" borderId="28" xfId="1063" quotePrefix="1" applyNumberFormat="1" applyFont="1" applyBorder="1" applyAlignment="1">
      <alignment horizontal="left" vertical="center"/>
    </xf>
    <xf numFmtId="222" fontId="10" fillId="0" borderId="12" xfId="1063" applyNumberFormat="1" applyFont="1" applyBorder="1" applyAlignment="1">
      <alignment horizontal="center" vertical="center"/>
    </xf>
    <xf numFmtId="222" fontId="10" fillId="0" borderId="49" xfId="1063" applyNumberFormat="1" applyFont="1" applyBorder="1" applyAlignment="1">
      <alignment horizontal="center" vertical="center"/>
    </xf>
    <xf numFmtId="0" fontId="176" fillId="0" borderId="0" xfId="1867" applyFont="1" applyAlignment="1">
      <alignment horizontal="center" vertical="center"/>
    </xf>
    <xf numFmtId="0" fontId="181" fillId="0" borderId="0" xfId="1867" applyFont="1" applyAlignment="1">
      <alignment horizontal="center" vertical="center"/>
    </xf>
    <xf numFmtId="0" fontId="180" fillId="0" borderId="0" xfId="1867" applyFont="1" applyAlignment="1">
      <alignment horizontal="left" vertical="center"/>
    </xf>
    <xf numFmtId="0" fontId="176" fillId="0" borderId="0" xfId="1867" applyFont="1" applyAlignment="1">
      <alignment horizontal="center" vertical="center" wrapText="1"/>
    </xf>
    <xf numFmtId="203" fontId="64" fillId="36" borderId="4" xfId="0" applyNumberFormat="1" applyFont="1" applyFill="1" applyBorder="1" applyAlignment="1">
      <alignment horizontal="center" vertical="center" wrapText="1"/>
    </xf>
    <xf numFmtId="203" fontId="64" fillId="36" borderId="43" xfId="0" applyNumberFormat="1" applyFont="1" applyFill="1" applyBorder="1" applyAlignment="1">
      <alignment horizontal="center" vertical="center" wrapText="1"/>
    </xf>
    <xf numFmtId="0" fontId="71" fillId="0" borderId="10" xfId="0" applyFont="1" applyBorder="1" applyAlignment="1">
      <alignment horizontal="center" vertical="center" wrapText="1"/>
    </xf>
    <xf numFmtId="0" fontId="71" fillId="0" borderId="0" xfId="0" applyFont="1" applyAlignment="1">
      <alignment horizontal="center" vertical="center" wrapText="1"/>
    </xf>
    <xf numFmtId="0" fontId="71" fillId="0" borderId="21" xfId="0" applyFont="1" applyBorder="1" applyAlignment="1">
      <alignment horizontal="center" vertical="center" wrapText="1"/>
    </xf>
    <xf numFmtId="0" fontId="64" fillId="0" borderId="40" xfId="0" applyFont="1" applyBorder="1" applyAlignment="1">
      <alignment horizontal="center" vertical="top" wrapText="1"/>
    </xf>
    <xf numFmtId="0" fontId="64" fillId="0" borderId="41" xfId="0" applyFont="1" applyBorder="1" applyAlignment="1">
      <alignment horizontal="center" vertical="top" wrapText="1"/>
    </xf>
    <xf numFmtId="0" fontId="64" fillId="0" borderId="42" xfId="0" applyFont="1" applyBorder="1" applyAlignment="1">
      <alignment horizontal="center" vertical="top" wrapText="1"/>
    </xf>
    <xf numFmtId="0" fontId="65" fillId="0" borderId="40" xfId="0" applyFont="1" applyBorder="1" applyAlignment="1">
      <alignment horizontal="center" vertical="center" wrapText="1"/>
    </xf>
    <xf numFmtId="0" fontId="65" fillId="0" borderId="41" xfId="0" applyFont="1" applyBorder="1" applyAlignment="1">
      <alignment horizontal="center" vertical="center" wrapText="1"/>
    </xf>
    <xf numFmtId="0" fontId="65" fillId="0" borderId="42" xfId="0" applyFont="1" applyBorder="1" applyAlignment="1">
      <alignment horizontal="center" vertical="center" wrapText="1"/>
    </xf>
    <xf numFmtId="0" fontId="65" fillId="0" borderId="24" xfId="0" applyFont="1" applyBorder="1" applyAlignment="1">
      <alignment horizontal="center" vertical="center" wrapText="1"/>
    </xf>
    <xf numFmtId="0" fontId="65" fillId="0" borderId="9" xfId="0" applyFont="1" applyBorder="1" applyAlignment="1">
      <alignment horizontal="center" vertical="center" wrapText="1"/>
    </xf>
    <xf numFmtId="0" fontId="65" fillId="0" borderId="8" xfId="0" applyFont="1" applyBorder="1" applyAlignment="1">
      <alignment horizontal="center" vertical="center" wrapText="1"/>
    </xf>
    <xf numFmtId="0" fontId="99" fillId="0" borderId="10" xfId="0" applyFont="1" applyBorder="1" applyAlignment="1">
      <alignment horizontal="center" vertical="center" wrapText="1"/>
    </xf>
    <xf numFmtId="0" fontId="99" fillId="0" borderId="0" xfId="0" applyFont="1" applyAlignment="1">
      <alignment horizontal="center" vertical="center" wrapText="1"/>
    </xf>
    <xf numFmtId="0" fontId="99" fillId="0" borderId="21" xfId="0" applyFont="1" applyBorder="1" applyAlignment="1">
      <alignment horizontal="center" vertical="center" wrapText="1"/>
    </xf>
    <xf numFmtId="0" fontId="99" fillId="0" borderId="10" xfId="0" applyFont="1" applyBorder="1" applyAlignment="1">
      <alignment horizontal="center" vertical="top" wrapText="1"/>
    </xf>
    <xf numFmtId="0" fontId="99" fillId="0" borderId="0" xfId="0" applyFont="1" applyAlignment="1">
      <alignment horizontal="center" vertical="top" wrapText="1"/>
    </xf>
    <xf numFmtId="0" fontId="99" fillId="0" borderId="21" xfId="0" applyFont="1" applyBorder="1" applyAlignment="1">
      <alignment horizontal="center" vertical="top" wrapText="1"/>
    </xf>
    <xf numFmtId="0" fontId="68" fillId="0" borderId="10" xfId="0" applyFont="1" applyBorder="1" applyAlignment="1">
      <alignment horizontal="center" vertical="top" wrapText="1"/>
    </xf>
    <xf numFmtId="0" fontId="68" fillId="0" borderId="0" xfId="0" applyFont="1" applyAlignment="1">
      <alignment horizontal="center" vertical="top" wrapText="1"/>
    </xf>
    <xf numFmtId="0" fontId="68" fillId="0" borderId="21" xfId="0" applyFont="1" applyBorder="1" applyAlignment="1">
      <alignment horizontal="center" vertical="top" wrapText="1"/>
    </xf>
    <xf numFmtId="0" fontId="66" fillId="0" borderId="40" xfId="0" applyFont="1" applyBorder="1" applyAlignment="1">
      <alignment horizontal="center" vertical="center" wrapText="1"/>
    </xf>
    <xf numFmtId="0" fontId="66" fillId="0" borderId="41" xfId="0" applyFont="1" applyBorder="1" applyAlignment="1">
      <alignment horizontal="center" vertical="center" wrapText="1"/>
    </xf>
    <xf numFmtId="0" fontId="66" fillId="0" borderId="42" xfId="0" applyFont="1" applyBorder="1" applyAlignment="1">
      <alignment horizontal="center" vertical="center" wrapText="1"/>
    </xf>
    <xf numFmtId="0" fontId="66" fillId="0" borderId="24" xfId="0" applyFont="1" applyBorder="1" applyAlignment="1">
      <alignment horizontal="center" vertical="center" wrapText="1"/>
    </xf>
    <xf numFmtId="0" fontId="66" fillId="0" borderId="9" xfId="0" applyFont="1" applyBorder="1" applyAlignment="1">
      <alignment horizontal="center" vertical="center" wrapText="1"/>
    </xf>
    <xf numFmtId="0" fontId="66" fillId="0" borderId="8" xfId="0" applyFont="1" applyBorder="1" applyAlignment="1">
      <alignment horizontal="center" vertical="center" wrapText="1"/>
    </xf>
    <xf numFmtId="0" fontId="68" fillId="0" borderId="10" xfId="0" applyFont="1" applyBorder="1" applyAlignment="1">
      <alignment horizontal="center" vertical="center" wrapText="1"/>
    </xf>
    <xf numFmtId="0" fontId="68" fillId="0" borderId="0" xfId="0" applyFont="1" applyAlignment="1">
      <alignment horizontal="center" vertical="center" wrapText="1"/>
    </xf>
    <xf numFmtId="0" fontId="68" fillId="0" borderId="21" xfId="0" applyFont="1" applyBorder="1" applyAlignment="1">
      <alignment horizontal="center" vertical="center" wrapText="1"/>
    </xf>
    <xf numFmtId="0" fontId="3" fillId="0" borderId="0" xfId="0" quotePrefix="1" applyFont="1" applyAlignment="1">
      <alignment horizontal="left" vertical="center" wrapText="1"/>
    </xf>
    <xf numFmtId="0" fontId="3" fillId="0" borderId="21" xfId="0" quotePrefix="1" applyFont="1" applyBorder="1" applyAlignment="1">
      <alignment horizontal="left" vertical="center" wrapText="1"/>
    </xf>
    <xf numFmtId="0" fontId="75" fillId="40" borderId="1" xfId="0" applyFont="1" applyFill="1" applyBorder="1" applyAlignment="1">
      <alignment horizontal="center" vertical="center" wrapText="1"/>
    </xf>
    <xf numFmtId="0" fontId="75" fillId="40" borderId="4" xfId="0" applyFont="1" applyFill="1" applyBorder="1" applyAlignment="1">
      <alignment horizontal="center" vertical="center" wrapText="1"/>
    </xf>
    <xf numFmtId="0" fontId="75" fillId="40" borderId="43" xfId="0" applyFont="1" applyFill="1" applyBorder="1" applyAlignment="1">
      <alignment horizontal="center" vertical="center" wrapText="1"/>
    </xf>
    <xf numFmtId="0" fontId="75" fillId="40" borderId="1" xfId="0" applyFont="1" applyFill="1" applyBorder="1" applyAlignment="1">
      <alignment horizontal="center" vertical="center"/>
    </xf>
    <xf numFmtId="0" fontId="75" fillId="40" borderId="4" xfId="0" applyFont="1" applyFill="1" applyBorder="1" applyAlignment="1">
      <alignment horizontal="center" vertical="center"/>
    </xf>
    <xf numFmtId="0" fontId="75" fillId="40" borderId="43" xfId="0" applyFont="1" applyFill="1" applyBorder="1" applyAlignment="1">
      <alignment horizontal="center" vertical="center"/>
    </xf>
    <xf numFmtId="0" fontId="75" fillId="40" borderId="40" xfId="0" applyFont="1" applyFill="1" applyBorder="1" applyAlignment="1">
      <alignment horizontal="center" vertical="center" wrapText="1"/>
    </xf>
    <xf numFmtId="0" fontId="75" fillId="40" borderId="41" xfId="0" applyFont="1" applyFill="1" applyBorder="1" applyAlignment="1">
      <alignment horizontal="center" vertical="center" wrapText="1"/>
    </xf>
    <xf numFmtId="0" fontId="75" fillId="40" borderId="42" xfId="0" applyFont="1" applyFill="1" applyBorder="1" applyAlignment="1">
      <alignment horizontal="center" vertical="center" wrapText="1"/>
    </xf>
    <xf numFmtId="0" fontId="75" fillId="40" borderId="2" xfId="0" applyFont="1" applyFill="1" applyBorder="1" applyAlignment="1">
      <alignment horizontal="center" vertical="center" wrapText="1"/>
    </xf>
    <xf numFmtId="0" fontId="75" fillId="40" borderId="44" xfId="0" applyFont="1" applyFill="1" applyBorder="1" applyAlignment="1">
      <alignment horizontal="center" vertical="center" wrapText="1"/>
    </xf>
    <xf numFmtId="0" fontId="75" fillId="40" borderId="2" xfId="0" applyFont="1" applyFill="1" applyBorder="1" applyAlignment="1">
      <alignment horizontal="center" vertical="center"/>
    </xf>
    <xf numFmtId="0" fontId="75" fillId="40" borderId="44" xfId="0" applyFont="1" applyFill="1" applyBorder="1" applyAlignment="1">
      <alignment horizontal="center" vertical="center"/>
    </xf>
    <xf numFmtId="0" fontId="73" fillId="0" borderId="0" xfId="0" applyFont="1" applyAlignment="1">
      <alignment horizontal="left" vertical="top" wrapText="1"/>
    </xf>
    <xf numFmtId="0" fontId="75" fillId="0" borderId="0" xfId="0" applyFont="1" applyAlignment="1">
      <alignment horizontal="center" vertical="center"/>
    </xf>
    <xf numFmtId="0" fontId="75" fillId="0" borderId="21" xfId="0" applyFont="1" applyBorder="1" applyAlignment="1">
      <alignment horizontal="center" vertical="center"/>
    </xf>
    <xf numFmtId="0" fontId="73" fillId="0" borderId="0" xfId="0" applyFont="1" applyAlignment="1">
      <alignment horizontal="left" vertical="center" wrapText="1"/>
    </xf>
    <xf numFmtId="0" fontId="73" fillId="0" borderId="21" xfId="0" applyFont="1" applyBorder="1" applyAlignment="1">
      <alignment horizontal="left" vertical="center" wrapText="1"/>
    </xf>
    <xf numFmtId="10" fontId="79" fillId="0" borderId="10" xfId="0" applyNumberFormat="1" applyFont="1" applyBorder="1" applyAlignment="1">
      <alignment horizontal="center" vertical="center"/>
    </xf>
    <xf numFmtId="10" fontId="79" fillId="0" borderId="0" xfId="0" applyNumberFormat="1" applyFont="1" applyAlignment="1">
      <alignment horizontal="center" vertical="center"/>
    </xf>
    <xf numFmtId="10" fontId="79" fillId="0" borderId="21" xfId="0" applyNumberFormat="1" applyFont="1" applyBorder="1" applyAlignment="1">
      <alignment horizontal="center" vertical="center"/>
    </xf>
    <xf numFmtId="0" fontId="79" fillId="0" borderId="10" xfId="0" applyFont="1" applyBorder="1" applyAlignment="1">
      <alignment horizontal="center" vertical="center"/>
    </xf>
    <xf numFmtId="0" fontId="79" fillId="0" borderId="0" xfId="0" applyFont="1" applyAlignment="1">
      <alignment horizontal="center" vertical="center"/>
    </xf>
    <xf numFmtId="0" fontId="79" fillId="0" borderId="21" xfId="0" applyFont="1" applyBorder="1" applyAlignment="1">
      <alignment horizontal="center" vertical="center"/>
    </xf>
    <xf numFmtId="0" fontId="65" fillId="0" borderId="10" xfId="0" applyFont="1" applyBorder="1" applyAlignment="1">
      <alignment horizontal="center" vertical="center" wrapText="1"/>
    </xf>
    <xf numFmtId="0" fontId="65" fillId="0" borderId="0" xfId="0" applyFont="1" applyAlignment="1">
      <alignment horizontal="center" vertical="center" wrapText="1"/>
    </xf>
    <xf numFmtId="0" fontId="65" fillId="0" borderId="21" xfId="0" applyFont="1" applyBorder="1" applyAlignment="1">
      <alignment horizontal="center" vertical="center" wrapText="1"/>
    </xf>
    <xf numFmtId="0" fontId="8" fillId="0" borderId="30" xfId="0" applyFont="1" applyBorder="1" applyAlignment="1">
      <alignment horizontal="center" vertical="center"/>
    </xf>
    <xf numFmtId="0" fontId="8" fillId="0" borderId="33" xfId="0" applyFont="1" applyBorder="1" applyAlignment="1">
      <alignment horizontal="center" vertical="center"/>
    </xf>
    <xf numFmtId="0" fontId="5" fillId="0" borderId="0" xfId="0" quotePrefix="1" applyFont="1" applyAlignment="1" applyProtection="1">
      <alignment horizontal="center" vertical="center"/>
      <protection locked="0"/>
    </xf>
    <xf numFmtId="0" fontId="85" fillId="0" borderId="0" xfId="0" quotePrefix="1" applyFont="1" applyAlignment="1">
      <alignment horizontal="center"/>
    </xf>
    <xf numFmtId="0" fontId="13" fillId="0" borderId="0" xfId="0" applyFont="1" applyAlignment="1">
      <alignment horizontal="center" vertical="center"/>
    </xf>
    <xf numFmtId="0" fontId="0" fillId="0" borderId="0" xfId="0" applyAlignment="1">
      <alignment horizontal="center"/>
    </xf>
    <xf numFmtId="0" fontId="7" fillId="0" borderId="3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7" fillId="0" borderId="36"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49" xfId="0" applyFont="1" applyBorder="1" applyAlignment="1" applyProtection="1">
      <alignment horizontal="center" vertical="center"/>
      <protection locked="0"/>
    </xf>
    <xf numFmtId="0" fontId="7" fillId="0" borderId="89" xfId="0" applyFont="1" applyBorder="1" applyAlignment="1" applyProtection="1">
      <alignment horizontal="center" vertical="center"/>
      <protection locked="0"/>
    </xf>
    <xf numFmtId="0" fontId="7" fillId="0" borderId="90" xfId="0" applyFont="1" applyBorder="1" applyAlignment="1" applyProtection="1">
      <alignment horizontal="center" vertical="center"/>
      <protection locked="0"/>
    </xf>
    <xf numFmtId="0" fontId="11" fillId="0" borderId="30" xfId="0" applyFont="1" applyBorder="1" applyAlignment="1">
      <alignment horizontal="center" vertical="center" textRotation="90"/>
    </xf>
    <xf numFmtId="0" fontId="11" fillId="0" borderId="33" xfId="0" applyFont="1" applyBorder="1" applyAlignment="1">
      <alignment horizontal="center" vertical="center" textRotation="90"/>
    </xf>
    <xf numFmtId="172" fontId="11" fillId="0" borderId="30" xfId="0" applyNumberFormat="1" applyFont="1" applyBorder="1" applyAlignment="1" applyProtection="1">
      <alignment horizontal="center"/>
      <protection locked="0"/>
    </xf>
    <xf numFmtId="172" fontId="11" fillId="0" borderId="27" xfId="0" applyNumberFormat="1" applyFont="1" applyBorder="1" applyAlignment="1" applyProtection="1">
      <alignment horizontal="center"/>
      <protection locked="0"/>
    </xf>
    <xf numFmtId="172" fontId="11" fillId="0" borderId="36" xfId="0" applyNumberFormat="1" applyFont="1" applyBorder="1" applyAlignment="1" applyProtection="1">
      <alignment horizontal="center"/>
      <protection locked="0"/>
    </xf>
    <xf numFmtId="172" fontId="11" fillId="0" borderId="49" xfId="0" applyNumberFormat="1" applyFont="1" applyBorder="1" applyAlignment="1" applyProtection="1">
      <alignment horizontal="center"/>
      <protection locked="0"/>
    </xf>
    <xf numFmtId="172" fontId="11" fillId="0" borderId="26" xfId="0" applyNumberFormat="1" applyFont="1" applyBorder="1" applyAlignment="1" applyProtection="1">
      <alignment horizontal="center"/>
      <protection locked="0"/>
    </xf>
    <xf numFmtId="172" fontId="11" fillId="0" borderId="12" xfId="0" applyNumberFormat="1" applyFont="1" applyBorder="1" applyAlignment="1" applyProtection="1">
      <alignment horizontal="center"/>
      <protection locked="0"/>
    </xf>
    <xf numFmtId="10" fontId="7" fillId="0" borderId="1" xfId="1582" applyNumberFormat="1" applyFont="1" applyBorder="1" applyAlignment="1" applyProtection="1">
      <alignment horizontal="center" vertical="center" wrapText="1"/>
      <protection locked="0"/>
    </xf>
    <xf numFmtId="10" fontId="7" fillId="0" borderId="86" xfId="1582" applyNumberFormat="1" applyFont="1" applyBorder="1" applyAlignment="1" applyProtection="1">
      <alignment horizontal="center" vertical="center" wrapText="1"/>
      <protection locked="0"/>
    </xf>
    <xf numFmtId="0" fontId="184" fillId="40" borderId="47" xfId="0" applyFont="1" applyFill="1" applyBorder="1" applyAlignment="1" applyProtection="1">
      <alignment horizontal="center" vertical="center" wrapText="1"/>
      <protection locked="0"/>
    </xf>
    <xf numFmtId="0" fontId="184" fillId="40" borderId="56" xfId="0" applyFont="1" applyFill="1" applyBorder="1" applyAlignment="1" applyProtection="1">
      <alignment horizontal="center" vertical="center" wrapText="1"/>
      <protection locked="0"/>
    </xf>
    <xf numFmtId="9" fontId="184" fillId="40" borderId="30" xfId="1582" applyFont="1" applyFill="1" applyBorder="1" applyAlignment="1" applyProtection="1">
      <alignment horizontal="center" vertical="center"/>
      <protection locked="0"/>
    </xf>
    <xf numFmtId="9" fontId="184" fillId="40" borderId="26" xfId="1582" applyFont="1" applyFill="1" applyBorder="1" applyAlignment="1" applyProtection="1">
      <alignment horizontal="center" vertical="center"/>
      <protection locked="0"/>
    </xf>
    <xf numFmtId="9" fontId="184" fillId="40" borderId="27" xfId="1582" applyFont="1" applyFill="1" applyBorder="1" applyAlignment="1" applyProtection="1">
      <alignment horizontal="center" vertical="center"/>
      <protection locked="0"/>
    </xf>
    <xf numFmtId="9" fontId="184" fillId="40" borderId="75" xfId="1582" applyFont="1" applyFill="1" applyBorder="1" applyAlignment="1" applyProtection="1">
      <alignment horizontal="center" vertical="center"/>
      <protection locked="0"/>
    </xf>
    <xf numFmtId="10" fontId="7" fillId="40" borderId="30" xfId="1582" applyNumberFormat="1" applyFont="1" applyFill="1" applyBorder="1" applyAlignment="1" applyProtection="1">
      <alignment horizontal="center" vertical="center"/>
      <protection locked="0"/>
    </xf>
    <xf numFmtId="10" fontId="7" fillId="40" borderId="26" xfId="1582" applyNumberFormat="1" applyFont="1" applyFill="1" applyBorder="1" applyAlignment="1" applyProtection="1">
      <alignment horizontal="center" vertical="center"/>
      <protection locked="0"/>
    </xf>
    <xf numFmtId="10" fontId="7" fillId="40" borderId="27" xfId="1582" applyNumberFormat="1" applyFont="1" applyFill="1" applyBorder="1" applyAlignment="1" applyProtection="1">
      <alignment horizontal="center" vertical="center"/>
      <protection locked="0"/>
    </xf>
    <xf numFmtId="10" fontId="7" fillId="40" borderId="36" xfId="1582" applyNumberFormat="1" applyFont="1" applyFill="1" applyBorder="1" applyAlignment="1" applyProtection="1">
      <alignment horizontal="center" vertical="center"/>
      <protection locked="0"/>
    </xf>
    <xf numFmtId="10" fontId="7" fillId="40" borderId="12" xfId="1582" applyNumberFormat="1" applyFont="1" applyFill="1" applyBorder="1" applyAlignment="1" applyProtection="1">
      <alignment horizontal="center" vertical="center"/>
      <protection locked="0"/>
    </xf>
    <xf numFmtId="10" fontId="7" fillId="40" borderId="49" xfId="1582" applyNumberFormat="1" applyFont="1" applyFill="1" applyBorder="1" applyAlignment="1" applyProtection="1">
      <alignment horizontal="center" vertical="center"/>
      <protection locked="0"/>
    </xf>
    <xf numFmtId="10" fontId="7" fillId="0" borderId="0" xfId="1582" applyNumberFormat="1" applyFont="1" applyBorder="1" applyAlignment="1" applyProtection="1">
      <alignment horizontal="center" vertical="center" wrapText="1"/>
      <protection locked="0"/>
    </xf>
    <xf numFmtId="10" fontId="7" fillId="0" borderId="28" xfId="1582" applyNumberFormat="1" applyFont="1" applyBorder="1" applyAlignment="1" applyProtection="1">
      <alignment horizontal="center" vertical="center" wrapText="1"/>
      <protection locked="0"/>
    </xf>
    <xf numFmtId="10" fontId="7" fillId="40" borderId="104" xfId="1582" applyNumberFormat="1" applyFont="1" applyFill="1" applyBorder="1" applyAlignment="1" applyProtection="1">
      <alignment horizontal="center" vertical="center"/>
      <protection locked="0"/>
    </xf>
    <xf numFmtId="10" fontId="7" fillId="40" borderId="34" xfId="1582" applyNumberFormat="1" applyFont="1" applyFill="1" applyBorder="1" applyAlignment="1" applyProtection="1">
      <alignment horizontal="center" vertical="center"/>
      <protection locked="0"/>
    </xf>
    <xf numFmtId="10" fontId="7" fillId="40" borderId="51" xfId="1582" applyNumberFormat="1" applyFont="1" applyFill="1" applyBorder="1" applyAlignment="1" applyProtection="1">
      <alignment horizontal="center" vertical="center"/>
      <protection locked="0"/>
    </xf>
    <xf numFmtId="10" fontId="7" fillId="0" borderId="104" xfId="1582" applyNumberFormat="1" applyFont="1" applyBorder="1" applyAlignment="1" applyProtection="1">
      <alignment horizontal="center" vertical="center" wrapText="1"/>
      <protection locked="0"/>
    </xf>
    <xf numFmtId="10" fontId="7" fillId="0" borderId="34" xfId="1582" applyNumberFormat="1" applyFont="1" applyBorder="1" applyAlignment="1" applyProtection="1">
      <alignment horizontal="center" vertical="center" wrapText="1"/>
      <protection locked="0"/>
    </xf>
    <xf numFmtId="10" fontId="7" fillId="0" borderId="51" xfId="1582" applyNumberFormat="1" applyFont="1" applyBorder="1" applyAlignment="1" applyProtection="1">
      <alignment horizontal="center" vertical="center" wrapText="1"/>
      <protection locked="0"/>
    </xf>
    <xf numFmtId="218" fontId="184" fillId="40" borderId="55" xfId="0" applyNumberFormat="1" applyFont="1" applyFill="1" applyBorder="1" applyAlignment="1" applyProtection="1">
      <alignment horizontal="center" vertical="center" wrapText="1"/>
      <protection locked="0"/>
    </xf>
    <xf numFmtId="218" fontId="184" fillId="40" borderId="11" xfId="0" applyNumberFormat="1" applyFont="1" applyFill="1" applyBorder="1" applyAlignment="1" applyProtection="1">
      <alignment horizontal="center" vertical="center" wrapText="1"/>
      <protection locked="0"/>
    </xf>
    <xf numFmtId="218" fontId="184" fillId="40" borderId="81" xfId="0" applyNumberFormat="1" applyFont="1" applyFill="1" applyBorder="1" applyAlignment="1" applyProtection="1">
      <alignment horizontal="center" vertical="center" wrapText="1"/>
      <protection locked="0"/>
    </xf>
    <xf numFmtId="218" fontId="184" fillId="40" borderId="55" xfId="0" applyNumberFormat="1" applyFont="1" applyFill="1" applyBorder="1" applyAlignment="1" applyProtection="1">
      <alignment horizontal="center"/>
      <protection locked="0"/>
    </xf>
    <xf numFmtId="218" fontId="184" fillId="40" borderId="11" xfId="0" applyNumberFormat="1" applyFont="1" applyFill="1" applyBorder="1" applyAlignment="1" applyProtection="1">
      <alignment horizontal="center"/>
      <protection locked="0"/>
    </xf>
    <xf numFmtId="218" fontId="184" fillId="40" borderId="81" xfId="0" applyNumberFormat="1" applyFont="1" applyFill="1" applyBorder="1" applyAlignment="1" applyProtection="1">
      <alignment horizontal="center"/>
      <protection locked="0"/>
    </xf>
    <xf numFmtId="10" fontId="7" fillId="40" borderId="87" xfId="1582" applyNumberFormat="1" applyFont="1" applyFill="1" applyBorder="1" applyAlignment="1" applyProtection="1">
      <alignment horizontal="center" vertical="center"/>
      <protection locked="0"/>
    </xf>
    <xf numFmtId="10" fontId="7" fillId="40" borderId="4" xfId="1582" applyNumberFormat="1" applyFont="1" applyFill="1" applyBorder="1" applyAlignment="1" applyProtection="1">
      <alignment horizontal="center" vertical="center"/>
      <protection locked="0"/>
    </xf>
    <xf numFmtId="10" fontId="7" fillId="0" borderId="107" xfId="1582" applyNumberFormat="1" applyFont="1" applyBorder="1" applyAlignment="1" applyProtection="1">
      <alignment horizontal="center" vertical="center" wrapText="1"/>
      <protection locked="0"/>
    </xf>
    <xf numFmtId="10" fontId="7" fillId="0" borderId="96" xfId="1582" applyNumberFormat="1" applyFont="1" applyBorder="1" applyAlignment="1" applyProtection="1">
      <alignment horizontal="center" vertical="center" wrapText="1"/>
      <protection locked="0"/>
    </xf>
    <xf numFmtId="10" fontId="7" fillId="0" borderId="2" xfId="1582" applyNumberFormat="1" applyFont="1" applyBorder="1" applyAlignment="1" applyProtection="1">
      <alignment horizontal="center" vertical="center" wrapText="1"/>
      <protection locked="0"/>
    </xf>
    <xf numFmtId="10" fontId="7" fillId="0" borderId="85" xfId="1582" applyNumberFormat="1" applyFont="1" applyBorder="1" applyAlignment="1" applyProtection="1">
      <alignment horizontal="center" vertical="center" wrapText="1"/>
      <protection locked="0"/>
    </xf>
    <xf numFmtId="0" fontId="184" fillId="0" borderId="0" xfId="0" applyFont="1" applyAlignment="1" applyProtection="1">
      <alignment horizontal="center" vertical="center"/>
      <protection locked="0"/>
    </xf>
    <xf numFmtId="0" fontId="184" fillId="40" borderId="33" xfId="0" applyFont="1" applyFill="1" applyBorder="1" applyAlignment="1">
      <alignment horizontal="center" vertical="center"/>
    </xf>
    <xf numFmtId="0" fontId="184" fillId="40" borderId="0" xfId="0" applyFont="1" applyFill="1" applyAlignment="1">
      <alignment horizontal="center" vertical="center"/>
    </xf>
    <xf numFmtId="0" fontId="184" fillId="40" borderId="28" xfId="0" applyFont="1" applyFill="1" applyBorder="1" applyAlignment="1">
      <alignment horizontal="center" vertical="center"/>
    </xf>
    <xf numFmtId="9" fontId="184" fillId="40" borderId="10" xfId="1582" applyFont="1" applyFill="1" applyBorder="1" applyAlignment="1" applyProtection="1">
      <alignment horizontal="center" vertical="center"/>
      <protection locked="0"/>
    </xf>
    <xf numFmtId="9" fontId="184" fillId="40" borderId="0" xfId="1582" applyFont="1" applyFill="1" applyBorder="1" applyAlignment="1" applyProtection="1">
      <alignment horizontal="center" vertical="center"/>
      <protection locked="0"/>
    </xf>
    <xf numFmtId="9" fontId="184" fillId="40" borderId="24" xfId="1582" applyFont="1" applyFill="1" applyBorder="1" applyAlignment="1" applyProtection="1">
      <alignment horizontal="center" vertical="center"/>
      <protection locked="0"/>
    </xf>
    <xf numFmtId="9" fontId="184" fillId="40" borderId="9" xfId="1582" applyFont="1" applyFill="1" applyBorder="1" applyAlignment="1" applyProtection="1">
      <alignment horizontal="center" vertical="center"/>
      <protection locked="0"/>
    </xf>
    <xf numFmtId="0" fontId="184" fillId="40" borderId="55" xfId="0" applyFont="1" applyFill="1" applyBorder="1" applyAlignment="1" applyProtection="1">
      <alignment horizontal="center"/>
      <protection locked="0"/>
    </xf>
    <xf numFmtId="0" fontId="184" fillId="40" borderId="11" xfId="0" applyFont="1" applyFill="1" applyBorder="1" applyAlignment="1" applyProtection="1">
      <alignment horizontal="center"/>
      <protection locked="0"/>
    </xf>
    <xf numFmtId="0" fontId="184" fillId="40" borderId="81" xfId="0" applyFont="1" applyFill="1" applyBorder="1" applyAlignment="1" applyProtection="1">
      <alignment horizontal="center"/>
      <protection locked="0"/>
    </xf>
    <xf numFmtId="0" fontId="184" fillId="40" borderId="30" xfId="0" applyFont="1" applyFill="1" applyBorder="1" applyAlignment="1" applyProtection="1">
      <alignment horizontal="center" vertical="center" wrapText="1"/>
      <protection locked="0"/>
    </xf>
    <xf numFmtId="0" fontId="184" fillId="40" borderId="26" xfId="0" applyFont="1" applyFill="1" applyBorder="1" applyAlignment="1" applyProtection="1">
      <alignment horizontal="center" vertical="center" wrapText="1"/>
      <protection locked="0"/>
    </xf>
    <xf numFmtId="0" fontId="184" fillId="40" borderId="27" xfId="0" applyFont="1" applyFill="1" applyBorder="1" applyAlignment="1" applyProtection="1">
      <alignment horizontal="center" vertical="center" wrapText="1"/>
      <protection locked="0"/>
    </xf>
    <xf numFmtId="0" fontId="184" fillId="40" borderId="36" xfId="0" applyFont="1" applyFill="1" applyBorder="1" applyAlignment="1" applyProtection="1">
      <alignment horizontal="center" vertical="center" wrapText="1"/>
      <protection locked="0"/>
    </xf>
    <xf numFmtId="0" fontId="184" fillId="40" borderId="12" xfId="0" applyFont="1" applyFill="1" applyBorder="1" applyAlignment="1" applyProtection="1">
      <alignment horizontal="center" vertical="center" wrapText="1"/>
      <protection locked="0"/>
    </xf>
    <xf numFmtId="0" fontId="184" fillId="40" borderId="49" xfId="0" applyFont="1" applyFill="1" applyBorder="1" applyAlignment="1" applyProtection="1">
      <alignment horizontal="center" vertical="center" wrapText="1"/>
      <protection locked="0"/>
    </xf>
    <xf numFmtId="0" fontId="184" fillId="40" borderId="26" xfId="0" applyFont="1" applyFill="1" applyBorder="1" applyAlignment="1">
      <alignment horizontal="center" vertical="center" textRotation="90"/>
    </xf>
    <xf numFmtId="0" fontId="184" fillId="40" borderId="0" xfId="0" applyFont="1" applyFill="1" applyAlignment="1">
      <alignment horizontal="center" vertical="center" textRotation="90"/>
    </xf>
    <xf numFmtId="0" fontId="184" fillId="40" borderId="82" xfId="0" applyFont="1" applyFill="1" applyBorder="1" applyAlignment="1" applyProtection="1">
      <alignment horizontal="center" vertical="center" textRotation="90" wrapText="1"/>
      <protection locked="0"/>
    </xf>
    <xf numFmtId="0" fontId="184" fillId="40" borderId="83" xfId="0" applyFont="1" applyFill="1" applyBorder="1" applyAlignment="1" applyProtection="1">
      <alignment horizontal="center" vertical="center" textRotation="90" wrapText="1"/>
      <protection locked="0"/>
    </xf>
    <xf numFmtId="218" fontId="184" fillId="40" borderId="30" xfId="0" applyNumberFormat="1" applyFont="1" applyFill="1" applyBorder="1" applyAlignment="1" applyProtection="1">
      <alignment horizontal="center" vertical="center" wrapText="1"/>
      <protection locked="0"/>
    </xf>
    <xf numFmtId="218" fontId="184" fillId="40" borderId="26" xfId="0" applyNumberFormat="1" applyFont="1" applyFill="1" applyBorder="1" applyAlignment="1" applyProtection="1">
      <alignment horizontal="center" vertical="center" wrapText="1"/>
      <protection locked="0"/>
    </xf>
    <xf numFmtId="218" fontId="184" fillId="40" borderId="27" xfId="0" applyNumberFormat="1" applyFont="1" applyFill="1" applyBorder="1" applyAlignment="1" applyProtection="1">
      <alignment horizontal="center" vertical="center" wrapText="1"/>
      <protection locked="0"/>
    </xf>
    <xf numFmtId="218" fontId="184" fillId="40" borderId="36" xfId="0" applyNumberFormat="1" applyFont="1" applyFill="1" applyBorder="1" applyAlignment="1" applyProtection="1">
      <alignment horizontal="center" vertical="center" wrapText="1"/>
      <protection locked="0"/>
    </xf>
    <xf numFmtId="218" fontId="184" fillId="40" borderId="12" xfId="0" applyNumberFormat="1" applyFont="1" applyFill="1" applyBorder="1" applyAlignment="1" applyProtection="1">
      <alignment horizontal="center" vertical="center" wrapText="1"/>
      <protection locked="0"/>
    </xf>
    <xf numFmtId="218" fontId="184" fillId="40" borderId="49" xfId="0" applyNumberFormat="1" applyFont="1" applyFill="1" applyBorder="1" applyAlignment="1" applyProtection="1">
      <alignment horizontal="center" vertical="center" wrapText="1"/>
      <protection locked="0"/>
    </xf>
    <xf numFmtId="10" fontId="79" fillId="0" borderId="10" xfId="1062" applyNumberFormat="1" applyFont="1" applyBorder="1" applyAlignment="1">
      <alignment horizontal="center" vertical="center"/>
    </xf>
    <xf numFmtId="10" fontId="79" fillId="0" borderId="0" xfId="1062" applyNumberFormat="1" applyFont="1" applyAlignment="1">
      <alignment horizontal="center" vertical="center"/>
    </xf>
    <xf numFmtId="10" fontId="79" fillId="0" borderId="21" xfId="1062" applyNumberFormat="1" applyFont="1" applyBorder="1" applyAlignment="1">
      <alignment horizontal="center" vertical="center"/>
    </xf>
    <xf numFmtId="0" fontId="79" fillId="0" borderId="10" xfId="1062" applyFont="1" applyBorder="1" applyAlignment="1">
      <alignment horizontal="center" vertical="center"/>
    </xf>
    <xf numFmtId="0" fontId="79" fillId="0" borderId="0" xfId="1062" applyFont="1" applyAlignment="1">
      <alignment horizontal="center" vertical="center"/>
    </xf>
    <xf numFmtId="0" fontId="79" fillId="0" borderId="21" xfId="1062" applyFont="1" applyBorder="1" applyAlignment="1">
      <alignment horizontal="center" vertical="center"/>
    </xf>
    <xf numFmtId="0" fontId="64" fillId="0" borderId="40" xfId="1062" applyFont="1" applyBorder="1" applyAlignment="1">
      <alignment horizontal="center" vertical="top" wrapText="1"/>
    </xf>
    <xf numFmtId="0" fontId="64" fillId="0" borderId="41" xfId="1062" applyFont="1" applyBorder="1" applyAlignment="1">
      <alignment horizontal="center" vertical="top" wrapText="1"/>
    </xf>
    <xf numFmtId="0" fontId="99" fillId="0" borderId="10" xfId="1062" applyFont="1" applyBorder="1" applyAlignment="1">
      <alignment horizontal="center" vertical="center" wrapText="1"/>
    </xf>
    <xf numFmtId="0" fontId="99" fillId="0" borderId="0" xfId="1062" applyFont="1" applyAlignment="1">
      <alignment horizontal="center" vertical="center" wrapText="1"/>
    </xf>
    <xf numFmtId="0" fontId="99" fillId="0" borderId="10" xfId="1062" applyFont="1" applyBorder="1" applyAlignment="1">
      <alignment horizontal="center" vertical="top" wrapText="1"/>
    </xf>
    <xf numFmtId="0" fontId="99" fillId="0" borderId="0" xfId="1062" applyFont="1" applyAlignment="1">
      <alignment horizontal="center" vertical="top" wrapText="1"/>
    </xf>
    <xf numFmtId="0" fontId="68" fillId="0" borderId="10" xfId="1062" applyFont="1" applyBorder="1" applyAlignment="1">
      <alignment horizontal="center" vertical="top" wrapText="1"/>
    </xf>
    <xf numFmtId="0" fontId="68" fillId="0" borderId="0" xfId="1062" applyFont="1" applyAlignment="1">
      <alignment horizontal="center" vertical="top" wrapText="1"/>
    </xf>
    <xf numFmtId="0" fontId="68" fillId="0" borderId="10" xfId="1062" applyFont="1" applyBorder="1" applyAlignment="1">
      <alignment horizontal="center" vertical="center" wrapText="1"/>
    </xf>
    <xf numFmtId="0" fontId="68" fillId="0" borderId="0" xfId="1062" applyFont="1" applyAlignment="1">
      <alignment horizontal="center" vertical="center" wrapText="1"/>
    </xf>
    <xf numFmtId="0" fontId="171" fillId="0" borderId="10" xfId="0" quotePrefix="1" applyFont="1" applyBorder="1" applyAlignment="1">
      <alignment horizontal="left" vertical="center"/>
    </xf>
    <xf numFmtId="0" fontId="171" fillId="0" borderId="0" xfId="0" applyFont="1" applyAlignment="1">
      <alignment horizontal="left" vertical="center"/>
    </xf>
    <xf numFmtId="0" fontId="171" fillId="0" borderId="21" xfId="0" applyFont="1" applyBorder="1" applyAlignment="1">
      <alignment horizontal="left" vertical="center"/>
    </xf>
    <xf numFmtId="0" fontId="10" fillId="0" borderId="10" xfId="0" applyFont="1" applyBorder="1" applyAlignment="1">
      <alignment horizontal="left" vertical="center"/>
    </xf>
    <xf numFmtId="0" fontId="10" fillId="0" borderId="0" xfId="0" applyFont="1" applyAlignment="1">
      <alignment horizontal="left" vertical="center"/>
    </xf>
    <xf numFmtId="0" fontId="10" fillId="0" borderId="21" xfId="0" applyFont="1" applyBorder="1" applyAlignment="1">
      <alignment horizontal="left" vertical="center"/>
    </xf>
    <xf numFmtId="0" fontId="9" fillId="0" borderId="2" xfId="1062" applyFont="1" applyBorder="1" applyAlignment="1">
      <alignment horizontal="center" vertical="center" wrapText="1"/>
    </xf>
    <xf numFmtId="0" fontId="9" fillId="0" borderId="85" xfId="1062" applyFont="1" applyBorder="1" applyAlignment="1">
      <alignment horizontal="center" vertical="center" wrapText="1"/>
    </xf>
    <xf numFmtId="0" fontId="9" fillId="0" borderId="2" xfId="1062" applyFont="1" applyBorder="1" applyAlignment="1">
      <alignment horizontal="center" vertical="center"/>
    </xf>
    <xf numFmtId="0" fontId="9" fillId="0" borderId="85" xfId="1062" applyFont="1" applyBorder="1" applyAlignment="1">
      <alignment horizontal="center" vertical="center"/>
    </xf>
    <xf numFmtId="0" fontId="171" fillId="0" borderId="10" xfId="0" applyFont="1" applyBorder="1" applyAlignment="1">
      <alignment horizontal="left" vertical="center"/>
    </xf>
    <xf numFmtId="0" fontId="10" fillId="0" borderId="10" xfId="1062" applyFont="1" applyBorder="1" applyAlignment="1">
      <alignment horizontal="left" vertical="center"/>
    </xf>
    <xf numFmtId="0" fontId="10" fillId="0" borderId="0" xfId="1062" applyFont="1" applyAlignment="1">
      <alignment horizontal="left" vertical="center"/>
    </xf>
    <xf numFmtId="0" fontId="10" fillId="0" borderId="21" xfId="1062" applyFont="1" applyBorder="1" applyAlignment="1">
      <alignment horizontal="left" vertical="center"/>
    </xf>
    <xf numFmtId="0" fontId="9" fillId="0" borderId="41" xfId="1062" applyFont="1" applyBorder="1" applyAlignment="1">
      <alignment horizontal="center" vertical="center" wrapText="1"/>
    </xf>
    <xf numFmtId="0" fontId="9" fillId="0" borderId="61" xfId="1062" applyFont="1" applyBorder="1" applyAlignment="1">
      <alignment horizontal="center" vertical="center" wrapText="1"/>
    </xf>
    <xf numFmtId="0" fontId="9" fillId="0" borderId="42" xfId="1062" applyFont="1" applyBorder="1" applyAlignment="1">
      <alignment horizontal="center" vertical="center" wrapText="1"/>
    </xf>
    <xf numFmtId="0" fontId="9" fillId="0" borderId="37" xfId="1062" applyFont="1" applyBorder="1" applyAlignment="1">
      <alignment horizontal="center" vertical="center" wrapText="1"/>
    </xf>
    <xf numFmtId="0" fontId="64" fillId="0" borderId="42" xfId="1062" applyFont="1" applyBorder="1" applyAlignment="1">
      <alignment horizontal="center" vertical="top" wrapText="1"/>
    </xf>
    <xf numFmtId="0" fontId="99" fillId="0" borderId="21" xfId="1062" applyFont="1" applyBorder="1" applyAlignment="1">
      <alignment horizontal="center" vertical="center" wrapText="1"/>
    </xf>
    <xf numFmtId="0" fontId="99" fillId="0" borderId="21" xfId="1062" applyFont="1" applyBorder="1" applyAlignment="1">
      <alignment horizontal="center" vertical="top" wrapText="1"/>
    </xf>
    <xf numFmtId="0" fontId="68" fillId="0" borderId="21" xfId="1062" applyFont="1" applyBorder="1" applyAlignment="1">
      <alignment horizontal="center" vertical="top" wrapText="1"/>
    </xf>
    <xf numFmtId="0" fontId="68" fillId="0" borderId="21" xfId="1062" applyFont="1" applyBorder="1" applyAlignment="1">
      <alignment horizontal="center" vertical="center" wrapText="1"/>
    </xf>
    <xf numFmtId="0" fontId="10" fillId="0" borderId="58" xfId="1062" applyFont="1" applyBorder="1" applyAlignment="1">
      <alignment horizontal="left" vertical="center"/>
    </xf>
    <xf numFmtId="0" fontId="10" fillId="0" borderId="73" xfId="1062" applyFont="1" applyBorder="1" applyAlignment="1">
      <alignment horizontal="left" vertical="center"/>
    </xf>
    <xf numFmtId="0" fontId="10" fillId="0" borderId="91" xfId="1062" applyFont="1" applyBorder="1" applyAlignment="1">
      <alignment horizontal="left" vertical="center"/>
    </xf>
    <xf numFmtId="0" fontId="9" fillId="0" borderId="41" xfId="1062" applyFont="1" applyBorder="1" applyAlignment="1">
      <alignment horizontal="center" vertical="center"/>
    </xf>
    <xf numFmtId="0" fontId="9" fillId="0" borderId="42" xfId="1062" applyFont="1" applyBorder="1" applyAlignment="1">
      <alignment horizontal="center" vertical="center"/>
    </xf>
    <xf numFmtId="0" fontId="9" fillId="0" borderId="61" xfId="1062" applyFont="1" applyBorder="1" applyAlignment="1">
      <alignment horizontal="center" vertical="center"/>
    </xf>
    <xf numFmtId="0" fontId="9" fillId="0" borderId="37" xfId="1062" applyFont="1" applyBorder="1" applyAlignment="1">
      <alignment horizontal="center" vertical="center"/>
    </xf>
    <xf numFmtId="0" fontId="9" fillId="0" borderId="40" xfId="1062" applyFont="1" applyBorder="1" applyAlignment="1">
      <alignment horizontal="center" vertical="center"/>
    </xf>
    <xf numFmtId="0" fontId="9" fillId="0" borderId="88" xfId="1062" applyFont="1" applyBorder="1" applyAlignment="1">
      <alignment horizontal="center" vertical="center"/>
    </xf>
    <xf numFmtId="203" fontId="64" fillId="36" borderId="4" xfId="1062" applyNumberFormat="1" applyFont="1" applyFill="1" applyBorder="1" applyAlignment="1">
      <alignment horizontal="center" vertical="center" wrapText="1"/>
    </xf>
    <xf numFmtId="203" fontId="68" fillId="36" borderId="4" xfId="1062" applyNumberFormat="1" applyFont="1" applyFill="1" applyBorder="1" applyAlignment="1">
      <alignment horizontal="center" vertical="center" wrapText="1"/>
    </xf>
    <xf numFmtId="203" fontId="64" fillId="36" borderId="43" xfId="1062" applyNumberFormat="1" applyFont="1" applyFill="1" applyBorder="1" applyAlignment="1">
      <alignment horizontal="center" vertical="center" wrapText="1"/>
    </xf>
    <xf numFmtId="0" fontId="74" fillId="0" borderId="1" xfId="1062" applyFont="1" applyBorder="1" applyAlignment="1">
      <alignment horizontal="center" vertical="center" wrapText="1"/>
    </xf>
    <xf numFmtId="0" fontId="74" fillId="0" borderId="4" xfId="1062" applyFont="1" applyBorder="1" applyAlignment="1">
      <alignment horizontal="center" vertical="center" wrapText="1"/>
    </xf>
    <xf numFmtId="0" fontId="74" fillId="0" borderId="43" xfId="1062" applyFont="1" applyBorder="1" applyAlignment="1">
      <alignment horizontal="center" vertical="center" wrapText="1"/>
    </xf>
    <xf numFmtId="0" fontId="66" fillId="0" borderId="41" xfId="0" applyFont="1" applyBorder="1" applyAlignment="1">
      <alignment horizontal="center" vertical="center"/>
    </xf>
    <xf numFmtId="0" fontId="66" fillId="0" borderId="42" xfId="0" applyFont="1" applyBorder="1" applyAlignment="1">
      <alignment horizontal="center" vertical="center"/>
    </xf>
    <xf numFmtId="0" fontId="66" fillId="0" borderId="9" xfId="0" applyFont="1" applyBorder="1" applyAlignment="1">
      <alignment horizontal="center" vertical="center"/>
    </xf>
    <xf numFmtId="0" fontId="66" fillId="0" borderId="8" xfId="0" applyFont="1" applyBorder="1" applyAlignment="1">
      <alignment horizontal="center" vertical="center"/>
    </xf>
    <xf numFmtId="0" fontId="10" fillId="0" borderId="10" xfId="0" applyFont="1" applyBorder="1" applyAlignment="1">
      <alignment horizontal="left" vertical="center" wrapText="1"/>
    </xf>
    <xf numFmtId="0" fontId="10" fillId="0" borderId="0" xfId="0" applyFont="1" applyAlignment="1">
      <alignment horizontal="left" vertical="center" wrapText="1"/>
    </xf>
    <xf numFmtId="0" fontId="10" fillId="0" borderId="21" xfId="0" applyFont="1" applyBorder="1" applyAlignment="1">
      <alignment horizontal="left" vertical="center" wrapText="1"/>
    </xf>
    <xf numFmtId="0" fontId="10" fillId="0" borderId="10" xfId="0" quotePrefix="1" applyFont="1" applyBorder="1" applyAlignment="1">
      <alignment horizontal="left" vertical="center"/>
    </xf>
    <xf numFmtId="0" fontId="3" fillId="0" borderId="97" xfId="0" applyFont="1" applyBorder="1" applyAlignment="1">
      <alignment horizontal="center"/>
    </xf>
    <xf numFmtId="0" fontId="3" fillId="0" borderId="97" xfId="0" applyFont="1" applyBorder="1" applyAlignment="1">
      <alignment horizontal="left" vertical="center" wrapText="1"/>
    </xf>
    <xf numFmtId="0" fontId="0" fillId="0" borderId="97" xfId="0" applyBorder="1" applyAlignment="1">
      <alignment horizontal="left" vertical="center"/>
    </xf>
    <xf numFmtId="0" fontId="74" fillId="0" borderId="40" xfId="1062" applyFont="1" applyBorder="1" applyAlignment="1">
      <alignment horizontal="center" vertical="center" wrapText="1"/>
    </xf>
    <xf numFmtId="0" fontId="74" fillId="0" borderId="41" xfId="1062" applyFont="1" applyBorder="1" applyAlignment="1">
      <alignment horizontal="center" vertical="center" wrapText="1"/>
    </xf>
    <xf numFmtId="0" fontId="74" fillId="0" borderId="42" xfId="1062" applyFont="1" applyBorder="1" applyAlignment="1">
      <alignment horizontal="center" vertical="center" wrapText="1"/>
    </xf>
    <xf numFmtId="0" fontId="0" fillId="0" borderId="97" xfId="0" applyBorder="1" applyAlignment="1">
      <alignment horizontal="center"/>
    </xf>
  </cellXfs>
  <cellStyles count="1868">
    <cellStyle name="–¢’è‹`" xfId="1" xr:uid="{00000000-0005-0000-0000-000000000000}"/>
    <cellStyle name="•W€_‰¿ŠiƒŠƒXƒg" xfId="2" xr:uid="{00000000-0005-0000-0000-000001000000}"/>
    <cellStyle name="20% - Accent1 2" xfId="3" xr:uid="{00000000-0005-0000-0000-000002000000}"/>
    <cellStyle name="20% - Accent1 3" xfId="4" xr:uid="{00000000-0005-0000-0000-000003000000}"/>
    <cellStyle name="20% - Accent2 2" xfId="5" xr:uid="{00000000-0005-0000-0000-000004000000}"/>
    <cellStyle name="20% - Accent2 3" xfId="6" xr:uid="{00000000-0005-0000-0000-000005000000}"/>
    <cellStyle name="20% - Accent3 2" xfId="7" xr:uid="{00000000-0005-0000-0000-000006000000}"/>
    <cellStyle name="20% - Accent3 3" xfId="8" xr:uid="{00000000-0005-0000-0000-000007000000}"/>
    <cellStyle name="20% - Accent4 2" xfId="9" xr:uid="{00000000-0005-0000-0000-000008000000}"/>
    <cellStyle name="20% - Accent4 3" xfId="10" xr:uid="{00000000-0005-0000-0000-000009000000}"/>
    <cellStyle name="20% - Accent5 2" xfId="11" xr:uid="{00000000-0005-0000-0000-00000A000000}"/>
    <cellStyle name="20% - Accent5 3" xfId="12" xr:uid="{00000000-0005-0000-0000-00000B000000}"/>
    <cellStyle name="20% - Accent6 2" xfId="13" xr:uid="{00000000-0005-0000-0000-00000C000000}"/>
    <cellStyle name="20% - Accent6 3" xfId="14" xr:uid="{00000000-0005-0000-0000-00000D000000}"/>
    <cellStyle name="2decimal" xfId="15" xr:uid="{00000000-0005-0000-0000-00000E000000}"/>
    <cellStyle name="40% - Accent1 2" xfId="16" xr:uid="{00000000-0005-0000-0000-00000F000000}"/>
    <cellStyle name="40% - Accent1 3" xfId="17" xr:uid="{00000000-0005-0000-0000-000010000000}"/>
    <cellStyle name="40% - Accent2 2" xfId="18" xr:uid="{00000000-0005-0000-0000-000011000000}"/>
    <cellStyle name="40% - Accent2 3" xfId="19" xr:uid="{00000000-0005-0000-0000-000012000000}"/>
    <cellStyle name="40% - Accent3 2" xfId="20" xr:uid="{00000000-0005-0000-0000-000013000000}"/>
    <cellStyle name="40% - Accent3 3" xfId="21" xr:uid="{00000000-0005-0000-0000-000014000000}"/>
    <cellStyle name="40% - Accent4 2" xfId="22" xr:uid="{00000000-0005-0000-0000-000015000000}"/>
    <cellStyle name="40% - Accent4 3" xfId="23" xr:uid="{00000000-0005-0000-0000-000016000000}"/>
    <cellStyle name="40% - Accent5 2" xfId="24" xr:uid="{00000000-0005-0000-0000-000017000000}"/>
    <cellStyle name="40% - Accent5 3" xfId="25" xr:uid="{00000000-0005-0000-0000-000018000000}"/>
    <cellStyle name="40% - Accent6 2" xfId="26" xr:uid="{00000000-0005-0000-0000-000019000000}"/>
    <cellStyle name="40% - Accent6 3" xfId="27" xr:uid="{00000000-0005-0000-0000-00001A000000}"/>
    <cellStyle name="60% - Accent1 2" xfId="28" xr:uid="{00000000-0005-0000-0000-00001B000000}"/>
    <cellStyle name="60% - Accent1 3" xfId="29" xr:uid="{00000000-0005-0000-0000-00001C000000}"/>
    <cellStyle name="60% - Accent2 2" xfId="30" xr:uid="{00000000-0005-0000-0000-00001D000000}"/>
    <cellStyle name="60% - Accent2 3" xfId="31" xr:uid="{00000000-0005-0000-0000-00001E000000}"/>
    <cellStyle name="60% - Accent3 2" xfId="32" xr:uid="{00000000-0005-0000-0000-00001F000000}"/>
    <cellStyle name="60% - Accent3 3" xfId="33" xr:uid="{00000000-0005-0000-0000-000020000000}"/>
    <cellStyle name="60% - Accent4 2" xfId="34" xr:uid="{00000000-0005-0000-0000-000021000000}"/>
    <cellStyle name="60% - Accent4 3" xfId="35" xr:uid="{00000000-0005-0000-0000-000022000000}"/>
    <cellStyle name="60% - Accent5 2" xfId="36" xr:uid="{00000000-0005-0000-0000-000023000000}"/>
    <cellStyle name="60% - Accent5 3" xfId="37" xr:uid="{00000000-0005-0000-0000-000024000000}"/>
    <cellStyle name="60% - Accent6 2" xfId="38" xr:uid="{00000000-0005-0000-0000-000025000000}"/>
    <cellStyle name="60% - Accent6 3" xfId="39" xr:uid="{00000000-0005-0000-0000-000026000000}"/>
    <cellStyle name="a" xfId="40" xr:uid="{00000000-0005-0000-0000-000027000000}"/>
    <cellStyle name="a_A12_EST_BS_ELECTRICAL _CONTROL SYSTEM (version 3)" xfId="41" xr:uid="{00000000-0005-0000-0000-000028000000}"/>
    <cellStyle name="a_A12_EST_BS_MECHANICAL (version 1)" xfId="42" xr:uid="{00000000-0005-0000-0000-000029000000}"/>
    <cellStyle name="a_A12_EST_BS_ONPLOT PIPING" xfId="43" xr:uid="{00000000-0005-0000-0000-00002A000000}"/>
    <cellStyle name="a_A12_EST_Business_Support (version 6)" xfId="44" xr:uid="{00000000-0005-0000-0000-00002B000000}"/>
    <cellStyle name="a_A12_EST_Engineering (version 1)" xfId="45" xr:uid="{00000000-0005-0000-0000-00002C000000}"/>
    <cellStyle name="a_A12_EST_Facilities Construction (version 16)" xfId="46" xr:uid="{00000000-0005-0000-0000-00002D000000}"/>
    <cellStyle name="a_A12_EST_Facilities Construction (version 6)" xfId="47" xr:uid="{00000000-0005-0000-0000-00002E000000}"/>
    <cellStyle name="a_A12_EST_Offplot_Mechanical_26_08_2006 (version 2)" xfId="48" xr:uid="{00000000-0005-0000-0000-00002F000000}"/>
    <cellStyle name="a_A12_EST_Onplot_North_South_West (version 1)" xfId="49" xr:uid="{00000000-0005-0000-0000-000030000000}"/>
    <cellStyle name="a_A12_EST_SLIM_ALL_26_08_2006" xfId="50" xr:uid="{00000000-0005-0000-0000-000031000000}"/>
    <cellStyle name="a_AREA 12 ESTIMATE_26_08_2006_SLIM" xfId="51" xr:uid="{00000000-0005-0000-0000-000032000000}"/>
    <cellStyle name="a_ENG_PM_SPECIAL_INDIRECT_ESCAL (version 3)" xfId="52" xr:uid="{00000000-0005-0000-0000-000033000000}"/>
    <cellStyle name="a_OTHER FACILITIES" xfId="53" xr:uid="{00000000-0005-0000-0000-000034000000}"/>
    <cellStyle name="a_Speciality Items" xfId="54" xr:uid="{00000000-0005-0000-0000-000035000000}"/>
    <cellStyle name="a_Well Hook Up (version 2)" xfId="55" xr:uid="{00000000-0005-0000-0000-000036000000}"/>
    <cellStyle name="Accent1 2" xfId="56" xr:uid="{00000000-0005-0000-0000-000037000000}"/>
    <cellStyle name="Accent1 3" xfId="57" xr:uid="{00000000-0005-0000-0000-000038000000}"/>
    <cellStyle name="Accent2 2" xfId="58" xr:uid="{00000000-0005-0000-0000-000039000000}"/>
    <cellStyle name="Accent2 3" xfId="59" xr:uid="{00000000-0005-0000-0000-00003A000000}"/>
    <cellStyle name="Accent3 2" xfId="60" xr:uid="{00000000-0005-0000-0000-00003B000000}"/>
    <cellStyle name="Accent3 3" xfId="61" xr:uid="{00000000-0005-0000-0000-00003C000000}"/>
    <cellStyle name="Accent4 2" xfId="62" xr:uid="{00000000-0005-0000-0000-00003D000000}"/>
    <cellStyle name="Accent4 3" xfId="63" xr:uid="{00000000-0005-0000-0000-00003E000000}"/>
    <cellStyle name="Accent5 2" xfId="64" xr:uid="{00000000-0005-0000-0000-00003F000000}"/>
    <cellStyle name="Accent5 3" xfId="65" xr:uid="{00000000-0005-0000-0000-000040000000}"/>
    <cellStyle name="Accent6 2" xfId="66" xr:uid="{00000000-0005-0000-0000-000041000000}"/>
    <cellStyle name="Accent6 3" xfId="67" xr:uid="{00000000-0005-0000-0000-000042000000}"/>
    <cellStyle name="amount" xfId="68" xr:uid="{00000000-0005-0000-0000-000043000000}"/>
    <cellStyle name="amount 2" xfId="69" xr:uid="{00000000-0005-0000-0000-000044000000}"/>
    <cellStyle name="amount 2 2" xfId="70" xr:uid="{00000000-0005-0000-0000-000045000000}"/>
    <cellStyle name="amount 2 3" xfId="71" xr:uid="{00000000-0005-0000-0000-000046000000}"/>
    <cellStyle name="amount 2 4" xfId="72" xr:uid="{00000000-0005-0000-0000-000047000000}"/>
    <cellStyle name="amount 2 5" xfId="73" xr:uid="{00000000-0005-0000-0000-000048000000}"/>
    <cellStyle name="amount 3" xfId="74" xr:uid="{00000000-0005-0000-0000-000049000000}"/>
    <cellStyle name="amount 3 2" xfId="75" xr:uid="{00000000-0005-0000-0000-00004A000000}"/>
    <cellStyle name="amount 3 3" xfId="76" xr:uid="{00000000-0005-0000-0000-00004B000000}"/>
    <cellStyle name="amount 3 4" xfId="77" xr:uid="{00000000-0005-0000-0000-00004C000000}"/>
    <cellStyle name="amount 4" xfId="78" xr:uid="{00000000-0005-0000-0000-00004D000000}"/>
    <cellStyle name="amount 5" xfId="79" xr:uid="{00000000-0005-0000-0000-00004E000000}"/>
    <cellStyle name="amount 6" xfId="80" xr:uid="{00000000-0005-0000-0000-00004F000000}"/>
    <cellStyle name="amount 7" xfId="81" xr:uid="{00000000-0005-0000-0000-000050000000}"/>
    <cellStyle name="args.style" xfId="82" xr:uid="{00000000-0005-0000-0000-000051000000}"/>
    <cellStyle name="Arial10" xfId="83" xr:uid="{00000000-0005-0000-0000-000052000000}"/>
    <cellStyle name="Arial10 2" xfId="84" xr:uid="{00000000-0005-0000-0000-000053000000}"/>
    <cellStyle name="Arial10 2 2" xfId="85" xr:uid="{00000000-0005-0000-0000-000054000000}"/>
    <cellStyle name="Arial10 2 3" xfId="86" xr:uid="{00000000-0005-0000-0000-000055000000}"/>
    <cellStyle name="ÄÞ¸¶ [20]" xfId="87" xr:uid="{00000000-0005-0000-0000-000056000000}"/>
    <cellStyle name="Bad 2" xfId="88" xr:uid="{00000000-0005-0000-0000-000057000000}"/>
    <cellStyle name="Bad 3" xfId="89" xr:uid="{00000000-0005-0000-0000-000058000000}"/>
    <cellStyle name="Body" xfId="90" xr:uid="{00000000-0005-0000-0000-000059000000}"/>
    <cellStyle name="Body text" xfId="91" xr:uid="{00000000-0005-0000-0000-00005A000000}"/>
    <cellStyle name="bol" xfId="92" xr:uid="{00000000-0005-0000-0000-00005B000000}"/>
    <cellStyle name="Bol 1" xfId="93" xr:uid="{00000000-0005-0000-0000-00005C000000}"/>
    <cellStyle name="Bol 1 2" xfId="94" xr:uid="{00000000-0005-0000-0000-00005D000000}"/>
    <cellStyle name="Bol 1 2 2" xfId="95" xr:uid="{00000000-0005-0000-0000-00005E000000}"/>
    <cellStyle name="Bol 1 2 3" xfId="96" xr:uid="{00000000-0005-0000-0000-00005F000000}"/>
    <cellStyle name="Bol 1 2 4" xfId="97" xr:uid="{00000000-0005-0000-0000-000060000000}"/>
    <cellStyle name="Bol 1 2 5" xfId="98" xr:uid="{00000000-0005-0000-0000-000061000000}"/>
    <cellStyle name="Bol 1 2 6" xfId="99" xr:uid="{00000000-0005-0000-0000-000062000000}"/>
    <cellStyle name="Bol 1 2 7" xfId="100" xr:uid="{00000000-0005-0000-0000-000063000000}"/>
    <cellStyle name="Bol 1 3" xfId="101" xr:uid="{00000000-0005-0000-0000-000064000000}"/>
    <cellStyle name="Bol 1 3 2" xfId="102" xr:uid="{00000000-0005-0000-0000-000065000000}"/>
    <cellStyle name="Bol 1 3 3" xfId="103" xr:uid="{00000000-0005-0000-0000-000066000000}"/>
    <cellStyle name="Bol 1 3 4" xfId="104" xr:uid="{00000000-0005-0000-0000-000067000000}"/>
    <cellStyle name="Bol 1 3 5" xfId="105" xr:uid="{00000000-0005-0000-0000-000068000000}"/>
    <cellStyle name="Bol 1 3 6" xfId="106" xr:uid="{00000000-0005-0000-0000-000069000000}"/>
    <cellStyle name="Bol 1 3 7" xfId="107" xr:uid="{00000000-0005-0000-0000-00006A000000}"/>
    <cellStyle name="Bol 1 4" xfId="108" xr:uid="{00000000-0005-0000-0000-00006B000000}"/>
    <cellStyle name="Bol 1 5" xfId="109" xr:uid="{00000000-0005-0000-0000-00006C000000}"/>
    <cellStyle name="Bol 1 6" xfId="110" xr:uid="{00000000-0005-0000-0000-00006D000000}"/>
    <cellStyle name="Bol 1 7" xfId="111" xr:uid="{00000000-0005-0000-0000-00006E000000}"/>
    <cellStyle name="Bol 1 8" xfId="112" xr:uid="{00000000-0005-0000-0000-00006F000000}"/>
    <cellStyle name="Bol 1 9" xfId="113" xr:uid="{00000000-0005-0000-0000-000070000000}"/>
    <cellStyle name="bol1" xfId="114" xr:uid="{00000000-0005-0000-0000-000071000000}"/>
    <cellStyle name="Breakdown Name" xfId="115" xr:uid="{00000000-0005-0000-0000-000072000000}"/>
    <cellStyle name="Breakdown Price" xfId="116" xr:uid="{00000000-0005-0000-0000-000073000000}"/>
    <cellStyle name="Breakdown SNR" xfId="117" xr:uid="{00000000-0005-0000-0000-000074000000}"/>
    <cellStyle name="Ç¥ÁØ_Sheet1" xfId="118" xr:uid="{00000000-0005-0000-0000-000075000000}"/>
    <cellStyle name="Calc Currency (0)" xfId="119" xr:uid="{00000000-0005-0000-0000-000076000000}"/>
    <cellStyle name="Calc Currency (0) 2" xfId="120" xr:uid="{00000000-0005-0000-0000-000077000000}"/>
    <cellStyle name="Calc Currency (2)" xfId="121" xr:uid="{00000000-0005-0000-0000-000078000000}"/>
    <cellStyle name="Calc Percent (0)" xfId="122" xr:uid="{00000000-0005-0000-0000-000079000000}"/>
    <cellStyle name="Calc Percent (1)" xfId="123" xr:uid="{00000000-0005-0000-0000-00007A000000}"/>
    <cellStyle name="Calc Percent (2)" xfId="124" xr:uid="{00000000-0005-0000-0000-00007B000000}"/>
    <cellStyle name="Calc Units (0)" xfId="125" xr:uid="{00000000-0005-0000-0000-00007C000000}"/>
    <cellStyle name="Calc Units (1)" xfId="126" xr:uid="{00000000-0005-0000-0000-00007D000000}"/>
    <cellStyle name="Calc Units (1) 2" xfId="127" xr:uid="{00000000-0005-0000-0000-00007E000000}"/>
    <cellStyle name="Calc Units (2)" xfId="128" xr:uid="{00000000-0005-0000-0000-00007F000000}"/>
    <cellStyle name="Calculation 2" xfId="129" xr:uid="{00000000-0005-0000-0000-000080000000}"/>
    <cellStyle name="Calculation 2 2" xfId="130" xr:uid="{00000000-0005-0000-0000-000081000000}"/>
    <cellStyle name="Calculation 2 2 2" xfId="131" xr:uid="{00000000-0005-0000-0000-000082000000}"/>
    <cellStyle name="Calculation 2 2 2 2" xfId="132" xr:uid="{00000000-0005-0000-0000-000083000000}"/>
    <cellStyle name="Calculation 2 2 2 3" xfId="133" xr:uid="{00000000-0005-0000-0000-000084000000}"/>
    <cellStyle name="Calculation 2 2 2 4" xfId="134" xr:uid="{00000000-0005-0000-0000-000085000000}"/>
    <cellStyle name="Calculation 2 2 2 5" xfId="135" xr:uid="{00000000-0005-0000-0000-000086000000}"/>
    <cellStyle name="Calculation 2 2 2 6" xfId="136" xr:uid="{00000000-0005-0000-0000-000087000000}"/>
    <cellStyle name="Calculation 2 2 2 7" xfId="137" xr:uid="{00000000-0005-0000-0000-000088000000}"/>
    <cellStyle name="Calculation 2 2 3" xfId="138" xr:uid="{00000000-0005-0000-0000-000089000000}"/>
    <cellStyle name="Calculation 2 2 4" xfId="139" xr:uid="{00000000-0005-0000-0000-00008A000000}"/>
    <cellStyle name="Calculation 2 2 5" xfId="140" xr:uid="{00000000-0005-0000-0000-00008B000000}"/>
    <cellStyle name="Calculation 2 2 6" xfId="141" xr:uid="{00000000-0005-0000-0000-00008C000000}"/>
    <cellStyle name="Calculation 2 2 7" xfId="142" xr:uid="{00000000-0005-0000-0000-00008D000000}"/>
    <cellStyle name="Calculation 2 3" xfId="143" xr:uid="{00000000-0005-0000-0000-00008E000000}"/>
    <cellStyle name="Calculation 2 3 2" xfId="144" xr:uid="{00000000-0005-0000-0000-00008F000000}"/>
    <cellStyle name="Calculation 2 3 3" xfId="145" xr:uid="{00000000-0005-0000-0000-000090000000}"/>
    <cellStyle name="Calculation 2 3 4" xfId="146" xr:uid="{00000000-0005-0000-0000-000091000000}"/>
    <cellStyle name="Calculation 2 3 5" xfId="147" xr:uid="{00000000-0005-0000-0000-000092000000}"/>
    <cellStyle name="Calculation 2 3 6" xfId="148" xr:uid="{00000000-0005-0000-0000-000093000000}"/>
    <cellStyle name="Calculation 2 3 7" xfId="149" xr:uid="{00000000-0005-0000-0000-000094000000}"/>
    <cellStyle name="Calculation 2 4" xfId="150" xr:uid="{00000000-0005-0000-0000-000095000000}"/>
    <cellStyle name="Calculation 2 5" xfId="151" xr:uid="{00000000-0005-0000-0000-000096000000}"/>
    <cellStyle name="Calculation 2 6" xfId="152" xr:uid="{00000000-0005-0000-0000-000097000000}"/>
    <cellStyle name="Calculation 2 7" xfId="153" xr:uid="{00000000-0005-0000-0000-000098000000}"/>
    <cellStyle name="Calculation 2 8" xfId="154" xr:uid="{00000000-0005-0000-0000-000099000000}"/>
    <cellStyle name="Calculation 3" xfId="155" xr:uid="{00000000-0005-0000-0000-00009A000000}"/>
    <cellStyle name="Calculation 3 2" xfId="156" xr:uid="{00000000-0005-0000-0000-00009B000000}"/>
    <cellStyle name="Calculation 3 2 2" xfId="157" xr:uid="{00000000-0005-0000-0000-00009C000000}"/>
    <cellStyle name="Calculation 3 2 3" xfId="158" xr:uid="{00000000-0005-0000-0000-00009D000000}"/>
    <cellStyle name="Calculation 3 2 4" xfId="159" xr:uid="{00000000-0005-0000-0000-00009E000000}"/>
    <cellStyle name="Calculation 3 2 5" xfId="160" xr:uid="{00000000-0005-0000-0000-00009F000000}"/>
    <cellStyle name="Calculation 3 2 6" xfId="161" xr:uid="{00000000-0005-0000-0000-0000A0000000}"/>
    <cellStyle name="Calculation 3 2 7" xfId="162" xr:uid="{00000000-0005-0000-0000-0000A1000000}"/>
    <cellStyle name="Calculation 3 3" xfId="163" xr:uid="{00000000-0005-0000-0000-0000A2000000}"/>
    <cellStyle name="Calculation 3 4" xfId="164" xr:uid="{00000000-0005-0000-0000-0000A3000000}"/>
    <cellStyle name="Calculation 3 5" xfId="165" xr:uid="{00000000-0005-0000-0000-0000A4000000}"/>
    <cellStyle name="Calculation 3 6" xfId="166" xr:uid="{00000000-0005-0000-0000-0000A5000000}"/>
    <cellStyle name="Calculation 3 7" xfId="167" xr:uid="{00000000-0005-0000-0000-0000A6000000}"/>
    <cellStyle name="CHANGED_1" xfId="168" xr:uid="{00000000-0005-0000-0000-0000A7000000}"/>
    <cellStyle name="Check Cell 2" xfId="169" xr:uid="{00000000-0005-0000-0000-0000A8000000}"/>
    <cellStyle name="Check Cell 3" xfId="170" xr:uid="{00000000-0005-0000-0000-0000A9000000}"/>
    <cellStyle name="column title" xfId="171" xr:uid="{00000000-0005-0000-0000-0000AA000000}"/>
    <cellStyle name="column title 2" xfId="172" xr:uid="{00000000-0005-0000-0000-0000AB000000}"/>
    <cellStyle name="column title 2 2" xfId="173" xr:uid="{00000000-0005-0000-0000-0000AC000000}"/>
    <cellStyle name="column title 3" xfId="174" xr:uid="{00000000-0005-0000-0000-0000AD000000}"/>
    <cellStyle name="column title 3 2" xfId="175" xr:uid="{00000000-0005-0000-0000-0000AE000000}"/>
    <cellStyle name="column title 4" xfId="176" xr:uid="{00000000-0005-0000-0000-0000AF000000}"/>
    <cellStyle name="Comma  - Style1" xfId="177" xr:uid="{00000000-0005-0000-0000-0000B1000000}"/>
    <cellStyle name="Comma  - Style1 2" xfId="178" xr:uid="{00000000-0005-0000-0000-0000B2000000}"/>
    <cellStyle name="Comma  - Style2" xfId="179" xr:uid="{00000000-0005-0000-0000-0000B3000000}"/>
    <cellStyle name="Comma  - Style2 2" xfId="180" xr:uid="{00000000-0005-0000-0000-0000B4000000}"/>
    <cellStyle name="Comma  - Style3" xfId="181" xr:uid="{00000000-0005-0000-0000-0000B5000000}"/>
    <cellStyle name="Comma  - Style3 2" xfId="182" xr:uid="{00000000-0005-0000-0000-0000B6000000}"/>
    <cellStyle name="Comma  - Style4" xfId="183" xr:uid="{00000000-0005-0000-0000-0000B7000000}"/>
    <cellStyle name="Comma  - Style4 2" xfId="184" xr:uid="{00000000-0005-0000-0000-0000B8000000}"/>
    <cellStyle name="Comma  - Style5" xfId="185" xr:uid="{00000000-0005-0000-0000-0000B9000000}"/>
    <cellStyle name="Comma  - Style5 2" xfId="186" xr:uid="{00000000-0005-0000-0000-0000BA000000}"/>
    <cellStyle name="Comma  - Style6" xfId="187" xr:uid="{00000000-0005-0000-0000-0000BB000000}"/>
    <cellStyle name="Comma  - Style6 2" xfId="188" xr:uid="{00000000-0005-0000-0000-0000BC000000}"/>
    <cellStyle name="Comma  - Style7" xfId="189" xr:uid="{00000000-0005-0000-0000-0000BD000000}"/>
    <cellStyle name="Comma  - Style7 2" xfId="190" xr:uid="{00000000-0005-0000-0000-0000BE000000}"/>
    <cellStyle name="Comma  - Style8" xfId="191" xr:uid="{00000000-0005-0000-0000-0000BF000000}"/>
    <cellStyle name="Comma  - Style8 2" xfId="192" xr:uid="{00000000-0005-0000-0000-0000C0000000}"/>
    <cellStyle name="Comma [0] 2" xfId="193" xr:uid="{00000000-0005-0000-0000-0000C1000000}"/>
    <cellStyle name="Comma [0] 2 2" xfId="194" xr:uid="{00000000-0005-0000-0000-0000C2000000}"/>
    <cellStyle name="Comma [0] 2 2 2" xfId="195" xr:uid="{00000000-0005-0000-0000-0000C3000000}"/>
    <cellStyle name="Comma [0] 2 2 2 2" xfId="196" xr:uid="{00000000-0005-0000-0000-0000C4000000}"/>
    <cellStyle name="Comma [0] 2 2 2 2 2" xfId="197" xr:uid="{00000000-0005-0000-0000-0000C5000000}"/>
    <cellStyle name="Comma [0] 2 2 2 2 3" xfId="198" xr:uid="{00000000-0005-0000-0000-0000C6000000}"/>
    <cellStyle name="Comma [0] 2 2 2 3" xfId="199" xr:uid="{00000000-0005-0000-0000-0000C7000000}"/>
    <cellStyle name="Comma [0] 2 2 2 4" xfId="200" xr:uid="{00000000-0005-0000-0000-0000C8000000}"/>
    <cellStyle name="Comma [0] 2 2 3" xfId="201" xr:uid="{00000000-0005-0000-0000-0000C9000000}"/>
    <cellStyle name="Comma [0] 2 2 3 2" xfId="202" xr:uid="{00000000-0005-0000-0000-0000CA000000}"/>
    <cellStyle name="Comma [0] 2 2 3 2 2" xfId="203" xr:uid="{00000000-0005-0000-0000-0000CB000000}"/>
    <cellStyle name="Comma [0] 2 2 3 2 3" xfId="204" xr:uid="{00000000-0005-0000-0000-0000CC000000}"/>
    <cellStyle name="Comma [0] 2 2 3 3" xfId="205" xr:uid="{00000000-0005-0000-0000-0000CD000000}"/>
    <cellStyle name="Comma [0] 2 2 3 4" xfId="206" xr:uid="{00000000-0005-0000-0000-0000CE000000}"/>
    <cellStyle name="Comma [0] 2 2 4" xfId="207" xr:uid="{00000000-0005-0000-0000-0000CF000000}"/>
    <cellStyle name="Comma [0] 2 2 4 2" xfId="208" xr:uid="{00000000-0005-0000-0000-0000D0000000}"/>
    <cellStyle name="Comma [0] 2 2 4 3" xfId="209" xr:uid="{00000000-0005-0000-0000-0000D1000000}"/>
    <cellStyle name="Comma [0] 2 2 5" xfId="210" xr:uid="{00000000-0005-0000-0000-0000D2000000}"/>
    <cellStyle name="Comma [0] 2 3" xfId="211" xr:uid="{00000000-0005-0000-0000-0000D3000000}"/>
    <cellStyle name="Comma [0] 2 3 2" xfId="212" xr:uid="{00000000-0005-0000-0000-0000D4000000}"/>
    <cellStyle name="Comma [0] 2 3 2 2" xfId="213" xr:uid="{00000000-0005-0000-0000-0000D5000000}"/>
    <cellStyle name="Comma [0] 2 3 2 3" xfId="214" xr:uid="{00000000-0005-0000-0000-0000D6000000}"/>
    <cellStyle name="Comma [0] 2 3 3" xfId="215" xr:uid="{00000000-0005-0000-0000-0000D7000000}"/>
    <cellStyle name="Comma [0] 2 3 4" xfId="216" xr:uid="{00000000-0005-0000-0000-0000D8000000}"/>
    <cellStyle name="Comma [0] 2 3 5" xfId="217" xr:uid="{00000000-0005-0000-0000-0000D9000000}"/>
    <cellStyle name="Comma [0] 2 4" xfId="218" xr:uid="{00000000-0005-0000-0000-0000DA000000}"/>
    <cellStyle name="Comma [0] 2 4 2" xfId="219" xr:uid="{00000000-0005-0000-0000-0000DB000000}"/>
    <cellStyle name="Comma [0] 2 4 2 2" xfId="220" xr:uid="{00000000-0005-0000-0000-0000DC000000}"/>
    <cellStyle name="Comma [0] 2 4 2 3" xfId="221" xr:uid="{00000000-0005-0000-0000-0000DD000000}"/>
    <cellStyle name="Comma [0] 2 4 3" xfId="222" xr:uid="{00000000-0005-0000-0000-0000DE000000}"/>
    <cellStyle name="Comma [0] 2 4 4" xfId="223" xr:uid="{00000000-0005-0000-0000-0000DF000000}"/>
    <cellStyle name="Comma [0] 2 5" xfId="224" xr:uid="{00000000-0005-0000-0000-0000E0000000}"/>
    <cellStyle name="Comma [0] 2 5 2" xfId="225" xr:uid="{00000000-0005-0000-0000-0000E1000000}"/>
    <cellStyle name="Comma [0] 2 5 3" xfId="226" xr:uid="{00000000-0005-0000-0000-0000E2000000}"/>
    <cellStyle name="Comma [0] 2 6" xfId="227" xr:uid="{00000000-0005-0000-0000-0000E3000000}"/>
    <cellStyle name="Comma [0] 2 7" xfId="228" xr:uid="{00000000-0005-0000-0000-0000E4000000}"/>
    <cellStyle name="Comma [0] 3" xfId="229" xr:uid="{00000000-0005-0000-0000-0000E5000000}"/>
    <cellStyle name="Comma [0] 3 2" xfId="230" xr:uid="{00000000-0005-0000-0000-0000E6000000}"/>
    <cellStyle name="Comma [0] 3 2 2" xfId="231" xr:uid="{00000000-0005-0000-0000-0000E7000000}"/>
    <cellStyle name="Comma [0] 3 2 2 2" xfId="232" xr:uid="{00000000-0005-0000-0000-0000E8000000}"/>
    <cellStyle name="Comma [0] 3 2 2 3" xfId="233" xr:uid="{00000000-0005-0000-0000-0000E9000000}"/>
    <cellStyle name="Comma [0] 3 2 3" xfId="234" xr:uid="{00000000-0005-0000-0000-0000EA000000}"/>
    <cellStyle name="Comma [0] 3 2 4" xfId="235" xr:uid="{00000000-0005-0000-0000-0000EB000000}"/>
    <cellStyle name="Comma [0] 3 3" xfId="236" xr:uid="{00000000-0005-0000-0000-0000EC000000}"/>
    <cellStyle name="Comma [0] 3 3 2" xfId="237" xr:uid="{00000000-0005-0000-0000-0000ED000000}"/>
    <cellStyle name="Comma [0] 3 3 2 2" xfId="238" xr:uid="{00000000-0005-0000-0000-0000EE000000}"/>
    <cellStyle name="Comma [0] 3 3 2 3" xfId="239" xr:uid="{00000000-0005-0000-0000-0000EF000000}"/>
    <cellStyle name="Comma [0] 3 3 3" xfId="240" xr:uid="{00000000-0005-0000-0000-0000F0000000}"/>
    <cellStyle name="Comma [0] 3 3 4" xfId="241" xr:uid="{00000000-0005-0000-0000-0000F1000000}"/>
    <cellStyle name="Comma [0] 3 4" xfId="242" xr:uid="{00000000-0005-0000-0000-0000F2000000}"/>
    <cellStyle name="Comma [0] 3 4 2" xfId="243" xr:uid="{00000000-0005-0000-0000-0000F3000000}"/>
    <cellStyle name="Comma [0] 3 4 3" xfId="244" xr:uid="{00000000-0005-0000-0000-0000F4000000}"/>
    <cellStyle name="Comma [0] 3 5" xfId="245" xr:uid="{00000000-0005-0000-0000-0000F5000000}"/>
    <cellStyle name="Comma [0] 3 6" xfId="246" xr:uid="{00000000-0005-0000-0000-0000F6000000}"/>
    <cellStyle name="Comma [0] 4" xfId="247" xr:uid="{00000000-0005-0000-0000-0000F7000000}"/>
    <cellStyle name="Comma [0] 4 2" xfId="248" xr:uid="{00000000-0005-0000-0000-0000F8000000}"/>
    <cellStyle name="Comma [0] 4 2 2" xfId="249" xr:uid="{00000000-0005-0000-0000-0000F9000000}"/>
    <cellStyle name="Comma [0] 4 2 3" xfId="250" xr:uid="{00000000-0005-0000-0000-0000FA000000}"/>
    <cellStyle name="Comma [0] 4 3" xfId="251" xr:uid="{00000000-0005-0000-0000-0000FB000000}"/>
    <cellStyle name="Comma [0] 4 4" xfId="252" xr:uid="{00000000-0005-0000-0000-0000FC000000}"/>
    <cellStyle name="Comma [00]" xfId="253" xr:uid="{00000000-0005-0000-0000-0000FD000000}"/>
    <cellStyle name="Comma 10" xfId="254" xr:uid="{00000000-0005-0000-0000-0000FE000000}"/>
    <cellStyle name="Comma 10 2" xfId="255" xr:uid="{00000000-0005-0000-0000-0000FF000000}"/>
    <cellStyle name="Comma 10 2 2" xfId="256" xr:uid="{00000000-0005-0000-0000-000000010000}"/>
    <cellStyle name="Comma 10 2 2 2" xfId="257" xr:uid="{00000000-0005-0000-0000-000001010000}"/>
    <cellStyle name="Comma 10 2 2 2 2" xfId="258" xr:uid="{00000000-0005-0000-0000-000002010000}"/>
    <cellStyle name="Comma 10 2 2 2 3" xfId="259" xr:uid="{00000000-0005-0000-0000-000003010000}"/>
    <cellStyle name="Comma 10 2 2 3" xfId="260" xr:uid="{00000000-0005-0000-0000-000004010000}"/>
    <cellStyle name="Comma 10 2 2 4" xfId="261" xr:uid="{00000000-0005-0000-0000-000005010000}"/>
    <cellStyle name="Comma 10 2 3" xfId="262" xr:uid="{00000000-0005-0000-0000-000006010000}"/>
    <cellStyle name="Comma 10 3" xfId="263" xr:uid="{00000000-0005-0000-0000-000007010000}"/>
    <cellStyle name="Comma 10 3 2" xfId="264" xr:uid="{00000000-0005-0000-0000-000008010000}"/>
    <cellStyle name="Comma 10 3 2 2" xfId="265" xr:uid="{00000000-0005-0000-0000-000009010000}"/>
    <cellStyle name="Comma 10 3 2 3" xfId="266" xr:uid="{00000000-0005-0000-0000-00000A010000}"/>
    <cellStyle name="Comma 10 3 3" xfId="267" xr:uid="{00000000-0005-0000-0000-00000B010000}"/>
    <cellStyle name="Comma 10 3 4" xfId="268" xr:uid="{00000000-0005-0000-0000-00000C010000}"/>
    <cellStyle name="Comma 10 4" xfId="269" xr:uid="{00000000-0005-0000-0000-00000D010000}"/>
    <cellStyle name="Comma 10 4 2" xfId="270" xr:uid="{00000000-0005-0000-0000-00000E010000}"/>
    <cellStyle name="Comma 10 4 2 2" xfId="271" xr:uid="{00000000-0005-0000-0000-00000F010000}"/>
    <cellStyle name="Comma 10 4 2 3" xfId="272" xr:uid="{00000000-0005-0000-0000-000010010000}"/>
    <cellStyle name="Comma 10 4 3" xfId="273" xr:uid="{00000000-0005-0000-0000-000011010000}"/>
    <cellStyle name="Comma 10 4 4" xfId="274" xr:uid="{00000000-0005-0000-0000-000012010000}"/>
    <cellStyle name="Comma 10 5" xfId="275" xr:uid="{00000000-0005-0000-0000-000013010000}"/>
    <cellStyle name="Comma 11" xfId="276" xr:uid="{00000000-0005-0000-0000-000014010000}"/>
    <cellStyle name="Comma 11 2" xfId="277" xr:uid="{00000000-0005-0000-0000-000015010000}"/>
    <cellStyle name="Comma 11 2 2" xfId="278" xr:uid="{00000000-0005-0000-0000-000016010000}"/>
    <cellStyle name="Comma 11 2 2 2" xfId="279" xr:uid="{00000000-0005-0000-0000-000017010000}"/>
    <cellStyle name="Comma 11 2 2 3" xfId="280" xr:uid="{00000000-0005-0000-0000-000018010000}"/>
    <cellStyle name="Comma 11 2 3" xfId="281" xr:uid="{00000000-0005-0000-0000-000019010000}"/>
    <cellStyle name="Comma 11 2 4" xfId="282" xr:uid="{00000000-0005-0000-0000-00001A010000}"/>
    <cellStyle name="Comma 11 3" xfId="283" xr:uid="{00000000-0005-0000-0000-00001B010000}"/>
    <cellStyle name="Comma 12" xfId="284" xr:uid="{00000000-0005-0000-0000-00001C010000}"/>
    <cellStyle name="Comma 12 2" xfId="285" xr:uid="{00000000-0005-0000-0000-00001D010000}"/>
    <cellStyle name="Comma 12 2 2" xfId="286" xr:uid="{00000000-0005-0000-0000-00001E010000}"/>
    <cellStyle name="Comma 12 2 2 2" xfId="287" xr:uid="{00000000-0005-0000-0000-00001F010000}"/>
    <cellStyle name="Comma 12 2 2 3" xfId="288" xr:uid="{00000000-0005-0000-0000-000020010000}"/>
    <cellStyle name="Comma 12 2 3" xfId="289" xr:uid="{00000000-0005-0000-0000-000021010000}"/>
    <cellStyle name="Comma 12 2 4" xfId="290" xr:uid="{00000000-0005-0000-0000-000022010000}"/>
    <cellStyle name="Comma 12 3" xfId="291" xr:uid="{00000000-0005-0000-0000-000023010000}"/>
    <cellStyle name="Comma 13" xfId="292" xr:uid="{00000000-0005-0000-0000-000024010000}"/>
    <cellStyle name="Comma 13 2" xfId="293" xr:uid="{00000000-0005-0000-0000-000025010000}"/>
    <cellStyle name="Comma 13 2 2" xfId="294" xr:uid="{00000000-0005-0000-0000-000026010000}"/>
    <cellStyle name="Comma 13 2 2 2" xfId="295" xr:uid="{00000000-0005-0000-0000-000027010000}"/>
    <cellStyle name="Comma 13 2 2 3" xfId="296" xr:uid="{00000000-0005-0000-0000-000028010000}"/>
    <cellStyle name="Comma 13 2 3" xfId="297" xr:uid="{00000000-0005-0000-0000-000029010000}"/>
    <cellStyle name="Comma 13 2 4" xfId="298" xr:uid="{00000000-0005-0000-0000-00002A010000}"/>
    <cellStyle name="Comma 13 3" xfId="299" xr:uid="{00000000-0005-0000-0000-00002B010000}"/>
    <cellStyle name="Comma 13 4" xfId="300" xr:uid="{00000000-0005-0000-0000-00002C010000}"/>
    <cellStyle name="Comma 14" xfId="301" xr:uid="{00000000-0005-0000-0000-00002D010000}"/>
    <cellStyle name="Comma 14 2" xfId="302" xr:uid="{00000000-0005-0000-0000-00002E010000}"/>
    <cellStyle name="Comma 14 2 2" xfId="303" xr:uid="{00000000-0005-0000-0000-00002F010000}"/>
    <cellStyle name="Comma 14 2 3" xfId="304" xr:uid="{00000000-0005-0000-0000-000030010000}"/>
    <cellStyle name="Comma 14 3" xfId="305" xr:uid="{00000000-0005-0000-0000-000031010000}"/>
    <cellStyle name="Comma 14 4" xfId="306" xr:uid="{00000000-0005-0000-0000-000032010000}"/>
    <cellStyle name="Comma 15" xfId="307" xr:uid="{00000000-0005-0000-0000-000033010000}"/>
    <cellStyle name="Comma 15 2" xfId="308" xr:uid="{00000000-0005-0000-0000-000034010000}"/>
    <cellStyle name="Comma 15 2 2" xfId="309" xr:uid="{00000000-0005-0000-0000-000035010000}"/>
    <cellStyle name="Comma 15 2 3" xfId="310" xr:uid="{00000000-0005-0000-0000-000036010000}"/>
    <cellStyle name="Comma 15 3" xfId="311" xr:uid="{00000000-0005-0000-0000-000037010000}"/>
    <cellStyle name="Comma 15 4" xfId="312" xr:uid="{00000000-0005-0000-0000-000038010000}"/>
    <cellStyle name="Comma 16" xfId="313" xr:uid="{00000000-0005-0000-0000-000039010000}"/>
    <cellStyle name="Comma 16 2" xfId="314" xr:uid="{00000000-0005-0000-0000-00003A010000}"/>
    <cellStyle name="Comma 16 2 2" xfId="315" xr:uid="{00000000-0005-0000-0000-00003B010000}"/>
    <cellStyle name="Comma 16 2 3" xfId="316" xr:uid="{00000000-0005-0000-0000-00003C010000}"/>
    <cellStyle name="Comma 16 3" xfId="317" xr:uid="{00000000-0005-0000-0000-00003D010000}"/>
    <cellStyle name="Comma 16 4" xfId="318" xr:uid="{00000000-0005-0000-0000-00003E010000}"/>
    <cellStyle name="Comma 17" xfId="319" xr:uid="{00000000-0005-0000-0000-00003F010000}"/>
    <cellStyle name="Comma 17 2" xfId="320" xr:uid="{00000000-0005-0000-0000-000040010000}"/>
    <cellStyle name="Comma 17 2 2" xfId="321" xr:uid="{00000000-0005-0000-0000-000041010000}"/>
    <cellStyle name="Comma 17 2 3" xfId="322" xr:uid="{00000000-0005-0000-0000-000042010000}"/>
    <cellStyle name="Comma 17 3" xfId="323" xr:uid="{00000000-0005-0000-0000-000043010000}"/>
    <cellStyle name="Comma 17 4" xfId="324" xr:uid="{00000000-0005-0000-0000-000044010000}"/>
    <cellStyle name="Comma 18" xfId="325" xr:uid="{00000000-0005-0000-0000-000045010000}"/>
    <cellStyle name="Comma 18 2" xfId="326" xr:uid="{00000000-0005-0000-0000-000046010000}"/>
    <cellStyle name="Comma 18 2 2" xfId="327" xr:uid="{00000000-0005-0000-0000-000047010000}"/>
    <cellStyle name="Comma 18 2 3" xfId="328" xr:uid="{00000000-0005-0000-0000-000048010000}"/>
    <cellStyle name="Comma 18 3" xfId="329" xr:uid="{00000000-0005-0000-0000-000049010000}"/>
    <cellStyle name="Comma 18 4" xfId="330" xr:uid="{00000000-0005-0000-0000-00004A010000}"/>
    <cellStyle name="Comma 19" xfId="331" xr:uid="{00000000-0005-0000-0000-00004B010000}"/>
    <cellStyle name="Comma 19 2" xfId="332" xr:uid="{00000000-0005-0000-0000-00004C010000}"/>
    <cellStyle name="Comma 19 2 2" xfId="333" xr:uid="{00000000-0005-0000-0000-00004D010000}"/>
    <cellStyle name="Comma 19 2 3" xfId="334" xr:uid="{00000000-0005-0000-0000-00004E010000}"/>
    <cellStyle name="Comma 19 3" xfId="335" xr:uid="{00000000-0005-0000-0000-00004F010000}"/>
    <cellStyle name="Comma 19 4" xfId="336" xr:uid="{00000000-0005-0000-0000-000050010000}"/>
    <cellStyle name="Comma 2" xfId="337" xr:uid="{00000000-0005-0000-0000-000051010000}"/>
    <cellStyle name="Comma 2 2" xfId="338" xr:uid="{00000000-0005-0000-0000-000052010000}"/>
    <cellStyle name="Comma 2 2 2" xfId="339" xr:uid="{00000000-0005-0000-0000-000053010000}"/>
    <cellStyle name="Comma 2 2 2 2" xfId="340" xr:uid="{00000000-0005-0000-0000-000054010000}"/>
    <cellStyle name="Comma 2 2 2 2 2" xfId="341" xr:uid="{00000000-0005-0000-0000-000055010000}"/>
    <cellStyle name="Comma 2 2 2 2 2 2" xfId="342" xr:uid="{00000000-0005-0000-0000-000056010000}"/>
    <cellStyle name="Comma 2 2 2 2 2 3" xfId="343" xr:uid="{00000000-0005-0000-0000-000057010000}"/>
    <cellStyle name="Comma 2 2 2 2 3" xfId="344" xr:uid="{00000000-0005-0000-0000-000058010000}"/>
    <cellStyle name="Comma 2 2 2 2 4" xfId="345" xr:uid="{00000000-0005-0000-0000-000059010000}"/>
    <cellStyle name="Comma 2 2 3" xfId="346" xr:uid="{00000000-0005-0000-0000-00005A010000}"/>
    <cellStyle name="Comma 2 2 3 2" xfId="347" xr:uid="{00000000-0005-0000-0000-00005B010000}"/>
    <cellStyle name="Comma 2 2 3 2 2" xfId="348" xr:uid="{00000000-0005-0000-0000-00005C010000}"/>
    <cellStyle name="Comma 2 2 3 2 2 2" xfId="349" xr:uid="{00000000-0005-0000-0000-00005D010000}"/>
    <cellStyle name="Comma 2 2 3 2 2 3" xfId="350" xr:uid="{00000000-0005-0000-0000-00005E010000}"/>
    <cellStyle name="Comma 2 2 3 2 3" xfId="351" xr:uid="{00000000-0005-0000-0000-00005F010000}"/>
    <cellStyle name="Comma 2 2 3 2 4" xfId="352" xr:uid="{00000000-0005-0000-0000-000060010000}"/>
    <cellStyle name="Comma 2 2 4" xfId="353" xr:uid="{00000000-0005-0000-0000-000061010000}"/>
    <cellStyle name="Comma 2 2 4 2" xfId="354" xr:uid="{00000000-0005-0000-0000-000062010000}"/>
    <cellStyle name="Comma 2 2 4 2 2" xfId="355" xr:uid="{00000000-0005-0000-0000-000063010000}"/>
    <cellStyle name="Comma 2 2 4 2 2 2" xfId="356" xr:uid="{00000000-0005-0000-0000-000064010000}"/>
    <cellStyle name="Comma 2 2 4 2 2 3" xfId="357" xr:uid="{00000000-0005-0000-0000-000065010000}"/>
    <cellStyle name="Comma 2 2 4 2 3" xfId="358" xr:uid="{00000000-0005-0000-0000-000066010000}"/>
    <cellStyle name="Comma 2 2 4 2 4" xfId="359" xr:uid="{00000000-0005-0000-0000-000067010000}"/>
    <cellStyle name="Comma 2 2 4 3" xfId="360" xr:uid="{00000000-0005-0000-0000-000068010000}"/>
    <cellStyle name="Comma 2 2 5" xfId="361" xr:uid="{00000000-0005-0000-0000-000069010000}"/>
    <cellStyle name="Comma 2 2 5 2" xfId="362" xr:uid="{00000000-0005-0000-0000-00006A010000}"/>
    <cellStyle name="Comma 2 2 5 2 2" xfId="363" xr:uid="{00000000-0005-0000-0000-00006B010000}"/>
    <cellStyle name="Comma 2 2 5 2 3" xfId="364" xr:uid="{00000000-0005-0000-0000-00006C010000}"/>
    <cellStyle name="Comma 2 2 5 3" xfId="365" xr:uid="{00000000-0005-0000-0000-00006D010000}"/>
    <cellStyle name="Comma 2 2 5 4" xfId="366" xr:uid="{00000000-0005-0000-0000-00006E010000}"/>
    <cellStyle name="Comma 2 2 6" xfId="367" xr:uid="{00000000-0005-0000-0000-00006F010000}"/>
    <cellStyle name="Comma 2 2 6 2" xfId="368" xr:uid="{00000000-0005-0000-0000-000070010000}"/>
    <cellStyle name="Comma 2 2 6 2 2" xfId="369" xr:uid="{00000000-0005-0000-0000-000071010000}"/>
    <cellStyle name="Comma 2 2 6 2 3" xfId="370" xr:uid="{00000000-0005-0000-0000-000072010000}"/>
    <cellStyle name="Comma 2 2 6 3" xfId="371" xr:uid="{00000000-0005-0000-0000-000073010000}"/>
    <cellStyle name="Comma 2 2 6 4" xfId="372" xr:uid="{00000000-0005-0000-0000-000074010000}"/>
    <cellStyle name="Comma 2 3" xfId="373" xr:uid="{00000000-0005-0000-0000-000075010000}"/>
    <cellStyle name="Comma 2 3 2" xfId="374" xr:uid="{00000000-0005-0000-0000-000076010000}"/>
    <cellStyle name="Comma 2 3 2 2" xfId="375" xr:uid="{00000000-0005-0000-0000-000077010000}"/>
    <cellStyle name="Comma 2 3 2 2 2" xfId="376" xr:uid="{00000000-0005-0000-0000-000078010000}"/>
    <cellStyle name="Comma 2 3 2 2 3" xfId="377" xr:uid="{00000000-0005-0000-0000-000079010000}"/>
    <cellStyle name="Comma 2 3 2 3" xfId="378" xr:uid="{00000000-0005-0000-0000-00007A010000}"/>
    <cellStyle name="Comma 2 3 3" xfId="379" xr:uid="{00000000-0005-0000-0000-00007B010000}"/>
    <cellStyle name="Comma 2 3 3 2" xfId="380" xr:uid="{00000000-0005-0000-0000-00007C010000}"/>
    <cellStyle name="Comma 2 3 3 2 2" xfId="381" xr:uid="{00000000-0005-0000-0000-00007D010000}"/>
    <cellStyle name="Comma 2 3 3 2 3" xfId="382" xr:uid="{00000000-0005-0000-0000-00007E010000}"/>
    <cellStyle name="Comma 2 3 3 3" xfId="383" xr:uid="{00000000-0005-0000-0000-00007F010000}"/>
    <cellStyle name="Comma 2 3 4" xfId="384" xr:uid="{00000000-0005-0000-0000-000080010000}"/>
    <cellStyle name="Comma 2 3 4 2" xfId="385" xr:uid="{00000000-0005-0000-0000-000081010000}"/>
    <cellStyle name="Comma 2 3 4 2 2" xfId="386" xr:uid="{00000000-0005-0000-0000-000082010000}"/>
    <cellStyle name="Comma 2 3 4 2 3" xfId="387" xr:uid="{00000000-0005-0000-0000-000083010000}"/>
    <cellStyle name="Comma 2 3 4 3" xfId="388" xr:uid="{00000000-0005-0000-0000-000084010000}"/>
    <cellStyle name="Comma 2 3 4 4" xfId="389" xr:uid="{00000000-0005-0000-0000-000085010000}"/>
    <cellStyle name="Comma 2 3 5" xfId="390" xr:uid="{00000000-0005-0000-0000-000086010000}"/>
    <cellStyle name="Comma 2 4" xfId="391" xr:uid="{00000000-0005-0000-0000-000087010000}"/>
    <cellStyle name="Comma 2 4 2" xfId="392" xr:uid="{00000000-0005-0000-0000-000088010000}"/>
    <cellStyle name="Comma 2 4 2 2" xfId="393" xr:uid="{00000000-0005-0000-0000-000089010000}"/>
    <cellStyle name="Comma 2 4 2 3" xfId="394" xr:uid="{00000000-0005-0000-0000-00008A010000}"/>
    <cellStyle name="Comma 2 4 3" xfId="395" xr:uid="{00000000-0005-0000-0000-00008B010000}"/>
    <cellStyle name="Comma 2 4 4" xfId="396" xr:uid="{00000000-0005-0000-0000-00008C010000}"/>
    <cellStyle name="Comma 2 5" xfId="397" xr:uid="{00000000-0005-0000-0000-00008D010000}"/>
    <cellStyle name="Comma 2 5 2" xfId="398" xr:uid="{00000000-0005-0000-0000-00008E010000}"/>
    <cellStyle name="Comma 2 5 2 2" xfId="399" xr:uid="{00000000-0005-0000-0000-00008F010000}"/>
    <cellStyle name="Comma 2 5 2 3" xfId="400" xr:uid="{00000000-0005-0000-0000-000090010000}"/>
    <cellStyle name="Comma 2 5 3" xfId="401" xr:uid="{00000000-0005-0000-0000-000091010000}"/>
    <cellStyle name="Comma 2 5 4" xfId="402" xr:uid="{00000000-0005-0000-0000-000092010000}"/>
    <cellStyle name="Comma 2 6" xfId="403" xr:uid="{00000000-0005-0000-0000-000093010000}"/>
    <cellStyle name="Comma 2 6 2" xfId="404" xr:uid="{00000000-0005-0000-0000-000094010000}"/>
    <cellStyle name="Comma 2 6 2 2" xfId="405" xr:uid="{00000000-0005-0000-0000-000095010000}"/>
    <cellStyle name="Comma 2 6 2 3" xfId="406" xr:uid="{00000000-0005-0000-0000-000096010000}"/>
    <cellStyle name="Comma 2 6 3" xfId="407" xr:uid="{00000000-0005-0000-0000-000097010000}"/>
    <cellStyle name="Comma 2 6 4" xfId="408" xr:uid="{00000000-0005-0000-0000-000098010000}"/>
    <cellStyle name="Comma 2 7" xfId="409" xr:uid="{00000000-0005-0000-0000-000099010000}"/>
    <cellStyle name="Comma 20" xfId="410" xr:uid="{00000000-0005-0000-0000-00009A010000}"/>
    <cellStyle name="Comma 20 2" xfId="411" xr:uid="{00000000-0005-0000-0000-00009B010000}"/>
    <cellStyle name="Comma 20 2 2" xfId="412" xr:uid="{00000000-0005-0000-0000-00009C010000}"/>
    <cellStyle name="Comma 20 2 3" xfId="413" xr:uid="{00000000-0005-0000-0000-00009D010000}"/>
    <cellStyle name="Comma 20 3" xfId="414" xr:uid="{00000000-0005-0000-0000-00009E010000}"/>
    <cellStyle name="Comma 20 4" xfId="415" xr:uid="{00000000-0005-0000-0000-00009F010000}"/>
    <cellStyle name="Comma 21" xfId="416" xr:uid="{00000000-0005-0000-0000-0000A0010000}"/>
    <cellStyle name="Comma 21 2" xfId="417" xr:uid="{00000000-0005-0000-0000-0000A1010000}"/>
    <cellStyle name="Comma 21 2 2" xfId="418" xr:uid="{00000000-0005-0000-0000-0000A2010000}"/>
    <cellStyle name="Comma 21 2 3" xfId="419" xr:uid="{00000000-0005-0000-0000-0000A3010000}"/>
    <cellStyle name="Comma 21 3" xfId="420" xr:uid="{00000000-0005-0000-0000-0000A4010000}"/>
    <cellStyle name="Comma 21 4" xfId="421" xr:uid="{00000000-0005-0000-0000-0000A5010000}"/>
    <cellStyle name="Comma 22" xfId="422" xr:uid="{00000000-0005-0000-0000-0000A6010000}"/>
    <cellStyle name="Comma 22 2" xfId="423" xr:uid="{00000000-0005-0000-0000-0000A7010000}"/>
    <cellStyle name="Comma 22 2 2" xfId="424" xr:uid="{00000000-0005-0000-0000-0000A8010000}"/>
    <cellStyle name="Comma 22 2 3" xfId="425" xr:uid="{00000000-0005-0000-0000-0000A9010000}"/>
    <cellStyle name="Comma 22 3" xfId="426" xr:uid="{00000000-0005-0000-0000-0000AA010000}"/>
    <cellStyle name="Comma 22 4" xfId="427" xr:uid="{00000000-0005-0000-0000-0000AB010000}"/>
    <cellStyle name="Comma 23" xfId="428" xr:uid="{00000000-0005-0000-0000-0000AC010000}"/>
    <cellStyle name="Comma 23 2" xfId="429" xr:uid="{00000000-0005-0000-0000-0000AD010000}"/>
    <cellStyle name="Comma 23 3" xfId="430" xr:uid="{00000000-0005-0000-0000-0000AE010000}"/>
    <cellStyle name="Comma 24" xfId="431" xr:uid="{00000000-0005-0000-0000-0000AF010000}"/>
    <cellStyle name="Comma 25" xfId="432" xr:uid="{00000000-0005-0000-0000-0000B0010000}"/>
    <cellStyle name="Comma 26" xfId="433" xr:uid="{00000000-0005-0000-0000-0000B1010000}"/>
    <cellStyle name="Comma 27" xfId="434" xr:uid="{00000000-0005-0000-0000-0000B2010000}"/>
    <cellStyle name="Comma 28" xfId="435" xr:uid="{00000000-0005-0000-0000-0000B3010000}"/>
    <cellStyle name="Comma 29" xfId="436" xr:uid="{00000000-0005-0000-0000-0000B4010000}"/>
    <cellStyle name="Comma 3" xfId="437" xr:uid="{00000000-0005-0000-0000-0000B5010000}"/>
    <cellStyle name="Comma 3 10" xfId="438" xr:uid="{00000000-0005-0000-0000-0000B6010000}"/>
    <cellStyle name="Comma 3 2" xfId="439" xr:uid="{00000000-0005-0000-0000-0000B7010000}"/>
    <cellStyle name="Comma 3 2 2" xfId="440" xr:uid="{00000000-0005-0000-0000-0000B8010000}"/>
    <cellStyle name="Comma 3 2 2 2" xfId="441" xr:uid="{00000000-0005-0000-0000-0000B9010000}"/>
    <cellStyle name="Comma 3 2 2 2 2" xfId="442" xr:uid="{00000000-0005-0000-0000-0000BA010000}"/>
    <cellStyle name="Comma 3 2 2 2 3" xfId="443" xr:uid="{00000000-0005-0000-0000-0000BB010000}"/>
    <cellStyle name="Comma 3 2 2 3" xfId="444" xr:uid="{00000000-0005-0000-0000-0000BC010000}"/>
    <cellStyle name="Comma 3 2 2 4" xfId="445" xr:uid="{00000000-0005-0000-0000-0000BD010000}"/>
    <cellStyle name="Comma 3 2 3" xfId="446" xr:uid="{00000000-0005-0000-0000-0000BE010000}"/>
    <cellStyle name="Comma 3 2 3 2" xfId="447" xr:uid="{00000000-0005-0000-0000-0000BF010000}"/>
    <cellStyle name="Comma 3 2 3 2 2" xfId="448" xr:uid="{00000000-0005-0000-0000-0000C0010000}"/>
    <cellStyle name="Comma 3 2 3 2 3" xfId="449" xr:uid="{00000000-0005-0000-0000-0000C1010000}"/>
    <cellStyle name="Comma 3 2 3 3" xfId="450" xr:uid="{00000000-0005-0000-0000-0000C2010000}"/>
    <cellStyle name="Comma 3 2 3 4" xfId="451" xr:uid="{00000000-0005-0000-0000-0000C3010000}"/>
    <cellStyle name="Comma 3 2 4" xfId="452" xr:uid="{00000000-0005-0000-0000-0000C4010000}"/>
    <cellStyle name="Comma 3 3" xfId="453" xr:uid="{00000000-0005-0000-0000-0000C5010000}"/>
    <cellStyle name="Comma 3 3 2" xfId="454" xr:uid="{00000000-0005-0000-0000-0000C6010000}"/>
    <cellStyle name="Comma 3 3 2 2" xfId="455" xr:uid="{00000000-0005-0000-0000-0000C7010000}"/>
    <cellStyle name="Comma 3 3 2 2 2" xfId="456" xr:uid="{00000000-0005-0000-0000-0000C8010000}"/>
    <cellStyle name="Comma 3 3 2 2 3" xfId="457" xr:uid="{00000000-0005-0000-0000-0000C9010000}"/>
    <cellStyle name="Comma 3 3 2 3" xfId="458" xr:uid="{00000000-0005-0000-0000-0000CA010000}"/>
    <cellStyle name="Comma 3 3 2 4" xfId="459" xr:uid="{00000000-0005-0000-0000-0000CB010000}"/>
    <cellStyle name="Comma 3 3 3" xfId="460" xr:uid="{00000000-0005-0000-0000-0000CC010000}"/>
    <cellStyle name="Comma 3 3 3 2" xfId="461" xr:uid="{00000000-0005-0000-0000-0000CD010000}"/>
    <cellStyle name="Comma 3 3 3 2 2" xfId="462" xr:uid="{00000000-0005-0000-0000-0000CE010000}"/>
    <cellStyle name="Comma 3 3 3 2 3" xfId="463" xr:uid="{00000000-0005-0000-0000-0000CF010000}"/>
    <cellStyle name="Comma 3 3 3 3" xfId="464" xr:uid="{00000000-0005-0000-0000-0000D0010000}"/>
    <cellStyle name="Comma 3 3 3 4" xfId="465" xr:uid="{00000000-0005-0000-0000-0000D1010000}"/>
    <cellStyle name="Comma 3 3 4" xfId="466" xr:uid="{00000000-0005-0000-0000-0000D2010000}"/>
    <cellStyle name="Comma 3 3 4 2" xfId="467" xr:uid="{00000000-0005-0000-0000-0000D3010000}"/>
    <cellStyle name="Comma 3 3 4 3" xfId="468" xr:uid="{00000000-0005-0000-0000-0000D4010000}"/>
    <cellStyle name="Comma 3 3 5" xfId="469" xr:uid="{00000000-0005-0000-0000-0000D5010000}"/>
    <cellStyle name="Comma 3 3 6" xfId="470" xr:uid="{00000000-0005-0000-0000-0000D6010000}"/>
    <cellStyle name="Comma 3 4" xfId="471" xr:uid="{00000000-0005-0000-0000-0000D7010000}"/>
    <cellStyle name="Comma 3 4 2" xfId="472" xr:uid="{00000000-0005-0000-0000-0000D8010000}"/>
    <cellStyle name="Comma 3 4 2 2" xfId="473" xr:uid="{00000000-0005-0000-0000-0000D9010000}"/>
    <cellStyle name="Comma 3 4 2 3" xfId="474" xr:uid="{00000000-0005-0000-0000-0000DA010000}"/>
    <cellStyle name="Comma 3 4 3" xfId="475" xr:uid="{00000000-0005-0000-0000-0000DB010000}"/>
    <cellStyle name="Comma 3 4 4" xfId="476" xr:uid="{00000000-0005-0000-0000-0000DC010000}"/>
    <cellStyle name="Comma 3 5" xfId="477" xr:uid="{00000000-0005-0000-0000-0000DD010000}"/>
    <cellStyle name="Comma 3 5 2" xfId="478" xr:uid="{00000000-0005-0000-0000-0000DE010000}"/>
    <cellStyle name="Comma 3 5 2 2" xfId="479" xr:uid="{00000000-0005-0000-0000-0000DF010000}"/>
    <cellStyle name="Comma 3 5 2 3" xfId="480" xr:uid="{00000000-0005-0000-0000-0000E0010000}"/>
    <cellStyle name="Comma 3 5 3" xfId="481" xr:uid="{00000000-0005-0000-0000-0000E1010000}"/>
    <cellStyle name="Comma 3 5 4" xfId="482" xr:uid="{00000000-0005-0000-0000-0000E2010000}"/>
    <cellStyle name="Comma 3 6" xfId="483" xr:uid="{00000000-0005-0000-0000-0000E3010000}"/>
    <cellStyle name="Comma 3 6 2" xfId="484" xr:uid="{00000000-0005-0000-0000-0000E4010000}"/>
    <cellStyle name="Comma 3 6 2 2" xfId="485" xr:uid="{00000000-0005-0000-0000-0000E5010000}"/>
    <cellStyle name="Comma 3 6 2 3" xfId="486" xr:uid="{00000000-0005-0000-0000-0000E6010000}"/>
    <cellStyle name="Comma 3 6 3" xfId="487" xr:uid="{00000000-0005-0000-0000-0000E7010000}"/>
    <cellStyle name="Comma 3 6 4" xfId="488" xr:uid="{00000000-0005-0000-0000-0000E8010000}"/>
    <cellStyle name="Comma 3 7" xfId="489" xr:uid="{00000000-0005-0000-0000-0000E9010000}"/>
    <cellStyle name="Comma 3 7 2" xfId="490" xr:uid="{00000000-0005-0000-0000-0000EA010000}"/>
    <cellStyle name="Comma 3 7 3" xfId="491" xr:uid="{00000000-0005-0000-0000-0000EB010000}"/>
    <cellStyle name="Comma 3 8" xfId="492" xr:uid="{00000000-0005-0000-0000-0000EC010000}"/>
    <cellStyle name="Comma 3 9" xfId="493" xr:uid="{00000000-0005-0000-0000-0000ED010000}"/>
    <cellStyle name="Comma 30" xfId="494" xr:uid="{00000000-0005-0000-0000-0000EE010000}"/>
    <cellStyle name="Comma 31" xfId="495" xr:uid="{00000000-0005-0000-0000-0000EF010000}"/>
    <cellStyle name="Comma 32" xfId="496" xr:uid="{00000000-0005-0000-0000-0000F0010000}"/>
    <cellStyle name="Comma 33" xfId="497" xr:uid="{00000000-0005-0000-0000-0000F1010000}"/>
    <cellStyle name="Comma 34" xfId="498" xr:uid="{00000000-0005-0000-0000-0000F2010000}"/>
    <cellStyle name="Comma 35" xfId="499" xr:uid="{00000000-0005-0000-0000-0000F3010000}"/>
    <cellStyle name="Comma 36" xfId="500" xr:uid="{00000000-0005-0000-0000-0000F4010000}"/>
    <cellStyle name="Comma 37" xfId="501" xr:uid="{00000000-0005-0000-0000-0000F5010000}"/>
    <cellStyle name="Comma 38" xfId="502" xr:uid="{00000000-0005-0000-0000-0000F6010000}"/>
    <cellStyle name="Comma 39" xfId="503" xr:uid="{00000000-0005-0000-0000-0000F7010000}"/>
    <cellStyle name="Comma 4" xfId="504" xr:uid="{00000000-0005-0000-0000-0000F8010000}"/>
    <cellStyle name="Comma 4 2" xfId="505" xr:uid="{00000000-0005-0000-0000-0000F9010000}"/>
    <cellStyle name="Comma 4 2 2" xfId="506" xr:uid="{00000000-0005-0000-0000-0000FA010000}"/>
    <cellStyle name="Comma 4 2 2 2" xfId="507" xr:uid="{00000000-0005-0000-0000-0000FB010000}"/>
    <cellStyle name="Comma 4 2 2 2 2" xfId="508" xr:uid="{00000000-0005-0000-0000-0000FC010000}"/>
    <cellStyle name="Comma 4 2 2 2 3" xfId="509" xr:uid="{00000000-0005-0000-0000-0000FD010000}"/>
    <cellStyle name="Comma 4 2 2 3" xfId="510" xr:uid="{00000000-0005-0000-0000-0000FE010000}"/>
    <cellStyle name="Comma 4 2 2 4" xfId="511" xr:uid="{00000000-0005-0000-0000-0000FF010000}"/>
    <cellStyle name="Comma 4 2 3" xfId="512" xr:uid="{00000000-0005-0000-0000-000000020000}"/>
    <cellStyle name="Comma 4 2 3 2" xfId="513" xr:uid="{00000000-0005-0000-0000-000001020000}"/>
    <cellStyle name="Comma 4 2 3 3" xfId="514" xr:uid="{00000000-0005-0000-0000-000002020000}"/>
    <cellStyle name="Comma 4 2 4" xfId="515" xr:uid="{00000000-0005-0000-0000-000003020000}"/>
    <cellStyle name="Comma 4 2 5" xfId="516" xr:uid="{00000000-0005-0000-0000-000004020000}"/>
    <cellStyle name="Comma 4 3" xfId="517" xr:uid="{00000000-0005-0000-0000-000005020000}"/>
    <cellStyle name="Comma 4 3 2" xfId="518" xr:uid="{00000000-0005-0000-0000-000006020000}"/>
    <cellStyle name="Comma 4 3 2 2" xfId="519" xr:uid="{00000000-0005-0000-0000-000007020000}"/>
    <cellStyle name="Comma 4 3 2 3" xfId="520" xr:uid="{00000000-0005-0000-0000-000008020000}"/>
    <cellStyle name="Comma 4 3 3" xfId="521" xr:uid="{00000000-0005-0000-0000-000009020000}"/>
    <cellStyle name="Comma 4 3 4" xfId="522" xr:uid="{00000000-0005-0000-0000-00000A020000}"/>
    <cellStyle name="Comma 4 4" xfId="523" xr:uid="{00000000-0005-0000-0000-00000B020000}"/>
    <cellStyle name="Comma 4 4 2" xfId="524" xr:uid="{00000000-0005-0000-0000-00000C020000}"/>
    <cellStyle name="Comma 4 4 2 2" xfId="525" xr:uid="{00000000-0005-0000-0000-00000D020000}"/>
    <cellStyle name="Comma 4 4 2 3" xfId="526" xr:uid="{00000000-0005-0000-0000-00000E020000}"/>
    <cellStyle name="Comma 4 4 3" xfId="527" xr:uid="{00000000-0005-0000-0000-00000F020000}"/>
    <cellStyle name="Comma 4 4 4" xfId="528" xr:uid="{00000000-0005-0000-0000-000010020000}"/>
    <cellStyle name="Comma 4 5" xfId="529" xr:uid="{00000000-0005-0000-0000-000011020000}"/>
    <cellStyle name="Comma 4 5 2" xfId="530" xr:uid="{00000000-0005-0000-0000-000012020000}"/>
    <cellStyle name="Comma 4 5 2 2" xfId="531" xr:uid="{00000000-0005-0000-0000-000013020000}"/>
    <cellStyle name="Comma 4 5 2 3" xfId="532" xr:uid="{00000000-0005-0000-0000-000014020000}"/>
    <cellStyle name="Comma 4 5 3" xfId="533" xr:uid="{00000000-0005-0000-0000-000015020000}"/>
    <cellStyle name="Comma 4 5 4" xfId="534" xr:uid="{00000000-0005-0000-0000-000016020000}"/>
    <cellStyle name="Comma 4 6" xfId="535" xr:uid="{00000000-0005-0000-0000-000017020000}"/>
    <cellStyle name="Comma 4 6 2" xfId="536" xr:uid="{00000000-0005-0000-0000-000018020000}"/>
    <cellStyle name="Comma 4 6 3" xfId="537" xr:uid="{00000000-0005-0000-0000-000019020000}"/>
    <cellStyle name="Comma 4 7" xfId="538" xr:uid="{00000000-0005-0000-0000-00001A020000}"/>
    <cellStyle name="Comma 40" xfId="539" xr:uid="{00000000-0005-0000-0000-00001B020000}"/>
    <cellStyle name="Comma 41" xfId="540" xr:uid="{00000000-0005-0000-0000-00001C020000}"/>
    <cellStyle name="Comma 42" xfId="541" xr:uid="{00000000-0005-0000-0000-00001D020000}"/>
    <cellStyle name="Comma 43" xfId="542" xr:uid="{00000000-0005-0000-0000-00001E020000}"/>
    <cellStyle name="Comma 44" xfId="543" xr:uid="{00000000-0005-0000-0000-00001F020000}"/>
    <cellStyle name="Comma 45" xfId="544" xr:uid="{00000000-0005-0000-0000-000020020000}"/>
    <cellStyle name="Comma 46" xfId="545" xr:uid="{00000000-0005-0000-0000-000021020000}"/>
    <cellStyle name="Comma 47" xfId="546" xr:uid="{00000000-0005-0000-0000-000022020000}"/>
    <cellStyle name="Comma 48" xfId="547" xr:uid="{00000000-0005-0000-0000-000023020000}"/>
    <cellStyle name="Comma 49" xfId="548" xr:uid="{00000000-0005-0000-0000-000024020000}"/>
    <cellStyle name="Comma 5" xfId="549" xr:uid="{00000000-0005-0000-0000-000025020000}"/>
    <cellStyle name="Comma 5 2" xfId="550" xr:uid="{00000000-0005-0000-0000-000026020000}"/>
    <cellStyle name="Comma 5 2 2" xfId="551" xr:uid="{00000000-0005-0000-0000-000027020000}"/>
    <cellStyle name="Comma 5 2 2 2" xfId="552" xr:uid="{00000000-0005-0000-0000-000028020000}"/>
    <cellStyle name="Comma 5 2 2 2 2" xfId="553" xr:uid="{00000000-0005-0000-0000-000029020000}"/>
    <cellStyle name="Comma 5 2 2 2 3" xfId="554" xr:uid="{00000000-0005-0000-0000-00002A020000}"/>
    <cellStyle name="Comma 5 2 2 3" xfId="555" xr:uid="{00000000-0005-0000-0000-00002B020000}"/>
    <cellStyle name="Comma 5 2 2 4" xfId="556" xr:uid="{00000000-0005-0000-0000-00002C020000}"/>
    <cellStyle name="Comma 5 2 3" xfId="557" xr:uid="{00000000-0005-0000-0000-00002D020000}"/>
    <cellStyle name="Comma 5 3" xfId="558" xr:uid="{00000000-0005-0000-0000-00002E020000}"/>
    <cellStyle name="Comma 5 3 2" xfId="559" xr:uid="{00000000-0005-0000-0000-00002F020000}"/>
    <cellStyle name="Comma 5 3 2 2" xfId="560" xr:uid="{00000000-0005-0000-0000-000030020000}"/>
    <cellStyle name="Comma 5 3 2 3" xfId="561" xr:uid="{00000000-0005-0000-0000-000031020000}"/>
    <cellStyle name="Comma 5 3 3" xfId="562" xr:uid="{00000000-0005-0000-0000-000032020000}"/>
    <cellStyle name="Comma 5 3 4" xfId="563" xr:uid="{00000000-0005-0000-0000-000033020000}"/>
    <cellStyle name="Comma 5 4" xfId="564" xr:uid="{00000000-0005-0000-0000-000034020000}"/>
    <cellStyle name="Comma 50" xfId="565" xr:uid="{00000000-0005-0000-0000-000035020000}"/>
    <cellStyle name="Comma 51" xfId="566" xr:uid="{00000000-0005-0000-0000-000036020000}"/>
    <cellStyle name="Comma 52" xfId="567" xr:uid="{00000000-0005-0000-0000-000037020000}"/>
    <cellStyle name="Comma 6" xfId="568" xr:uid="{00000000-0005-0000-0000-000038020000}"/>
    <cellStyle name="Comma 6 2" xfId="569" xr:uid="{00000000-0005-0000-0000-000039020000}"/>
    <cellStyle name="Comma 6 2 2" xfId="570" xr:uid="{00000000-0005-0000-0000-00003A020000}"/>
    <cellStyle name="Comma 6 2 2 2" xfId="571" xr:uid="{00000000-0005-0000-0000-00003B020000}"/>
    <cellStyle name="Comma 6 2 2 2 2" xfId="572" xr:uid="{00000000-0005-0000-0000-00003C020000}"/>
    <cellStyle name="Comma 6 2 2 2 3" xfId="573" xr:uid="{00000000-0005-0000-0000-00003D020000}"/>
    <cellStyle name="Comma 6 2 2 3" xfId="574" xr:uid="{00000000-0005-0000-0000-00003E020000}"/>
    <cellStyle name="Comma 6 2 2 4" xfId="575" xr:uid="{00000000-0005-0000-0000-00003F020000}"/>
    <cellStyle name="Comma 6 2 3" xfId="576" xr:uid="{00000000-0005-0000-0000-000040020000}"/>
    <cellStyle name="Comma 6 2 3 2" xfId="577" xr:uid="{00000000-0005-0000-0000-000041020000}"/>
    <cellStyle name="Comma 6 2 3 3" xfId="578" xr:uid="{00000000-0005-0000-0000-000042020000}"/>
    <cellStyle name="Comma 6 2 4" xfId="579" xr:uid="{00000000-0005-0000-0000-000043020000}"/>
    <cellStyle name="Comma 6 3" xfId="580" xr:uid="{00000000-0005-0000-0000-000044020000}"/>
    <cellStyle name="Comma 6 3 2" xfId="581" xr:uid="{00000000-0005-0000-0000-000045020000}"/>
    <cellStyle name="Comma 6 3 2 2" xfId="582" xr:uid="{00000000-0005-0000-0000-000046020000}"/>
    <cellStyle name="Comma 6 3 2 3" xfId="583" xr:uid="{00000000-0005-0000-0000-000047020000}"/>
    <cellStyle name="Comma 6 3 3" xfId="584" xr:uid="{00000000-0005-0000-0000-000048020000}"/>
    <cellStyle name="Comma 6 3 4" xfId="585" xr:uid="{00000000-0005-0000-0000-000049020000}"/>
    <cellStyle name="Comma 6 4" xfId="586" xr:uid="{00000000-0005-0000-0000-00004A020000}"/>
    <cellStyle name="Comma 6 4 2" xfId="587" xr:uid="{00000000-0005-0000-0000-00004B020000}"/>
    <cellStyle name="Comma 6 4 3" xfId="588" xr:uid="{00000000-0005-0000-0000-00004C020000}"/>
    <cellStyle name="Comma 6 5" xfId="589" xr:uid="{00000000-0005-0000-0000-00004D020000}"/>
    <cellStyle name="Comma 7" xfId="590" xr:uid="{00000000-0005-0000-0000-00004E020000}"/>
    <cellStyle name="Comma 7 2" xfId="591" xr:uid="{00000000-0005-0000-0000-00004F020000}"/>
    <cellStyle name="Comma 7 2 2" xfId="592" xr:uid="{00000000-0005-0000-0000-000050020000}"/>
    <cellStyle name="Comma 7 2 2 2" xfId="593" xr:uid="{00000000-0005-0000-0000-000051020000}"/>
    <cellStyle name="Comma 7 2 2 3" xfId="594" xr:uid="{00000000-0005-0000-0000-000052020000}"/>
    <cellStyle name="Comma 7 2 3" xfId="595" xr:uid="{00000000-0005-0000-0000-000053020000}"/>
    <cellStyle name="Comma 7 2 4" xfId="596" xr:uid="{00000000-0005-0000-0000-000054020000}"/>
    <cellStyle name="Comma 7 3" xfId="597" xr:uid="{00000000-0005-0000-0000-000055020000}"/>
    <cellStyle name="Comma 7 3 2" xfId="598" xr:uid="{00000000-0005-0000-0000-000056020000}"/>
    <cellStyle name="Comma 7 3 2 2" xfId="599" xr:uid="{00000000-0005-0000-0000-000057020000}"/>
    <cellStyle name="Comma 7 3 2 3" xfId="600" xr:uid="{00000000-0005-0000-0000-000058020000}"/>
    <cellStyle name="Comma 7 3 3" xfId="601" xr:uid="{00000000-0005-0000-0000-000059020000}"/>
    <cellStyle name="Comma 7 3 4" xfId="602" xr:uid="{00000000-0005-0000-0000-00005A020000}"/>
    <cellStyle name="Comma 7 4" xfId="603" xr:uid="{00000000-0005-0000-0000-00005B020000}"/>
    <cellStyle name="Comma 8" xfId="604" xr:uid="{00000000-0005-0000-0000-00005C020000}"/>
    <cellStyle name="Comma 8 2" xfId="605" xr:uid="{00000000-0005-0000-0000-00005D020000}"/>
    <cellStyle name="Comma 8 2 2" xfId="606" xr:uid="{00000000-0005-0000-0000-00005E020000}"/>
    <cellStyle name="Comma 8 2 2 2" xfId="607" xr:uid="{00000000-0005-0000-0000-00005F020000}"/>
    <cellStyle name="Comma 8 2 2 3" xfId="608" xr:uid="{00000000-0005-0000-0000-000060020000}"/>
    <cellStyle name="Comma 8 2 3" xfId="609" xr:uid="{00000000-0005-0000-0000-000061020000}"/>
    <cellStyle name="Comma 8 2 4" xfId="610" xr:uid="{00000000-0005-0000-0000-000062020000}"/>
    <cellStyle name="Comma 8 3" xfId="611" xr:uid="{00000000-0005-0000-0000-000063020000}"/>
    <cellStyle name="Comma 8 3 2" xfId="612" xr:uid="{00000000-0005-0000-0000-000064020000}"/>
    <cellStyle name="Comma 8 3 2 2" xfId="613" xr:uid="{00000000-0005-0000-0000-000065020000}"/>
    <cellStyle name="Comma 8 3 2 3" xfId="614" xr:uid="{00000000-0005-0000-0000-000066020000}"/>
    <cellStyle name="Comma 8 3 3" xfId="615" xr:uid="{00000000-0005-0000-0000-000067020000}"/>
    <cellStyle name="Comma 8 3 4" xfId="616" xr:uid="{00000000-0005-0000-0000-000068020000}"/>
    <cellStyle name="Comma 8 4" xfId="617" xr:uid="{00000000-0005-0000-0000-000069020000}"/>
    <cellStyle name="Comma 8 4 2" xfId="618" xr:uid="{00000000-0005-0000-0000-00006A020000}"/>
    <cellStyle name="Comma 8 4 3" xfId="619" xr:uid="{00000000-0005-0000-0000-00006B020000}"/>
    <cellStyle name="Comma 8 5" xfId="620" xr:uid="{00000000-0005-0000-0000-00006C020000}"/>
    <cellStyle name="Comma 9" xfId="621" xr:uid="{00000000-0005-0000-0000-00006D020000}"/>
    <cellStyle name="Comma 9 2" xfId="622" xr:uid="{00000000-0005-0000-0000-00006E020000}"/>
    <cellStyle name="Comma 9 2 2" xfId="623" xr:uid="{00000000-0005-0000-0000-00006F020000}"/>
    <cellStyle name="Comma 9 2 2 2" xfId="624" xr:uid="{00000000-0005-0000-0000-000070020000}"/>
    <cellStyle name="Comma 9 2 2 3" xfId="625" xr:uid="{00000000-0005-0000-0000-000071020000}"/>
    <cellStyle name="Comma 9 2 3" xfId="626" xr:uid="{00000000-0005-0000-0000-000072020000}"/>
    <cellStyle name="Comma 9 2 4" xfId="627" xr:uid="{00000000-0005-0000-0000-000073020000}"/>
    <cellStyle name="Comma 9 3" xfId="628" xr:uid="{00000000-0005-0000-0000-000074020000}"/>
    <cellStyle name="Comma 9 3 2" xfId="629" xr:uid="{00000000-0005-0000-0000-000075020000}"/>
    <cellStyle name="Comma 9 3 2 2" xfId="630" xr:uid="{00000000-0005-0000-0000-000076020000}"/>
    <cellStyle name="Comma 9 3 2 3" xfId="631" xr:uid="{00000000-0005-0000-0000-000077020000}"/>
    <cellStyle name="Comma 9 3 3" xfId="632" xr:uid="{00000000-0005-0000-0000-000078020000}"/>
    <cellStyle name="Comma 9 3 4" xfId="633" xr:uid="{00000000-0005-0000-0000-000079020000}"/>
    <cellStyle name="Comma 9 4" xfId="634" xr:uid="{00000000-0005-0000-0000-00007A020000}"/>
    <cellStyle name="Comma 9 4 2" xfId="635" xr:uid="{00000000-0005-0000-0000-00007B020000}"/>
    <cellStyle name="Comma 9 4 2 2" xfId="636" xr:uid="{00000000-0005-0000-0000-00007C020000}"/>
    <cellStyle name="Comma 9 4 2 3" xfId="637" xr:uid="{00000000-0005-0000-0000-00007D020000}"/>
    <cellStyle name="Comma 9 4 3" xfId="638" xr:uid="{00000000-0005-0000-0000-00007E020000}"/>
    <cellStyle name="Comma 9 4 4" xfId="639" xr:uid="{00000000-0005-0000-0000-00007F020000}"/>
    <cellStyle name="Comma 9 5" xfId="640" xr:uid="{00000000-0005-0000-0000-000080020000}"/>
    <cellStyle name="Comma 9 5 2" xfId="641" xr:uid="{00000000-0005-0000-0000-000081020000}"/>
    <cellStyle name="Comma 9 5 2 2" xfId="642" xr:uid="{00000000-0005-0000-0000-000082020000}"/>
    <cellStyle name="Comma 9 5 2 3" xfId="643" xr:uid="{00000000-0005-0000-0000-000083020000}"/>
    <cellStyle name="Comma 9 5 3" xfId="644" xr:uid="{00000000-0005-0000-0000-000084020000}"/>
    <cellStyle name="Comma 9 5 4" xfId="645" xr:uid="{00000000-0005-0000-0000-000085020000}"/>
    <cellStyle name="Comma 9 6" xfId="646" xr:uid="{00000000-0005-0000-0000-000086020000}"/>
    <cellStyle name="comma zerodec" xfId="647" xr:uid="{00000000-0005-0000-0000-000087020000}"/>
    <cellStyle name="Comma_03PCH100_8187PCH101A" xfId="648" xr:uid="{00000000-0005-0000-0000-000088020000}"/>
    <cellStyle name="Comma_8146est00_8187PCH101A" xfId="649" xr:uid="{00000000-0005-0000-0000-00008A020000}"/>
    <cellStyle name="Comma0" xfId="650" xr:uid="{00000000-0005-0000-0000-00008B020000}"/>
    <cellStyle name="Comma0 - Style1" xfId="651" xr:uid="{00000000-0005-0000-0000-00008C020000}"/>
    <cellStyle name="Comma0 10" xfId="652" xr:uid="{00000000-0005-0000-0000-00008D020000}"/>
    <cellStyle name="Comma0 11" xfId="653" xr:uid="{00000000-0005-0000-0000-00008E020000}"/>
    <cellStyle name="Comma0 12" xfId="654" xr:uid="{00000000-0005-0000-0000-00008F020000}"/>
    <cellStyle name="Comma0 13" xfId="655" xr:uid="{00000000-0005-0000-0000-000090020000}"/>
    <cellStyle name="Comma0 14" xfId="656" xr:uid="{00000000-0005-0000-0000-000091020000}"/>
    <cellStyle name="Comma0 15" xfId="657" xr:uid="{00000000-0005-0000-0000-000092020000}"/>
    <cellStyle name="Comma0 16" xfId="658" xr:uid="{00000000-0005-0000-0000-000093020000}"/>
    <cellStyle name="Comma0 17" xfId="659" xr:uid="{00000000-0005-0000-0000-000094020000}"/>
    <cellStyle name="Comma0 18" xfId="660" xr:uid="{00000000-0005-0000-0000-000095020000}"/>
    <cellStyle name="Comma0 19" xfId="661" xr:uid="{00000000-0005-0000-0000-000096020000}"/>
    <cellStyle name="Comma0 2" xfId="662" xr:uid="{00000000-0005-0000-0000-000097020000}"/>
    <cellStyle name="Comma0 2 2" xfId="663" xr:uid="{00000000-0005-0000-0000-000098020000}"/>
    <cellStyle name="Comma0 20" xfId="664" xr:uid="{00000000-0005-0000-0000-000099020000}"/>
    <cellStyle name="Comma0 21" xfId="665" xr:uid="{00000000-0005-0000-0000-00009A020000}"/>
    <cellStyle name="Comma0 3" xfId="666" xr:uid="{00000000-0005-0000-0000-00009B020000}"/>
    <cellStyle name="Comma0 4" xfId="667" xr:uid="{00000000-0005-0000-0000-00009C020000}"/>
    <cellStyle name="Comma0 5" xfId="668" xr:uid="{00000000-0005-0000-0000-00009D020000}"/>
    <cellStyle name="Comma0 6" xfId="669" xr:uid="{00000000-0005-0000-0000-00009E020000}"/>
    <cellStyle name="Comma0 7" xfId="670" xr:uid="{00000000-0005-0000-0000-00009F020000}"/>
    <cellStyle name="Comma0 8" xfId="671" xr:uid="{00000000-0005-0000-0000-0000A0020000}"/>
    <cellStyle name="Comma0 9" xfId="672" xr:uid="{00000000-0005-0000-0000-0000A1020000}"/>
    <cellStyle name="Comma1 - Style2" xfId="673" xr:uid="{00000000-0005-0000-0000-0000A2020000}"/>
    <cellStyle name="Copied" xfId="674" xr:uid="{00000000-0005-0000-0000-0000A3020000}"/>
    <cellStyle name="Currency (0.00)" xfId="675" xr:uid="{00000000-0005-0000-0000-0000A4020000}"/>
    <cellStyle name="Currency (0.00) 2" xfId="676" xr:uid="{00000000-0005-0000-0000-0000A5020000}"/>
    <cellStyle name="Currency (0.00) 2 2" xfId="677" xr:uid="{00000000-0005-0000-0000-0000A6020000}"/>
    <cellStyle name="Currency (0.00) 2 2 2" xfId="678" xr:uid="{00000000-0005-0000-0000-0000A7020000}"/>
    <cellStyle name="Currency (0.00) 2 2 2 2" xfId="679" xr:uid="{00000000-0005-0000-0000-0000A8020000}"/>
    <cellStyle name="Currency (0.00) 2 2 3" xfId="680" xr:uid="{00000000-0005-0000-0000-0000A9020000}"/>
    <cellStyle name="Currency (0.00) 2 2 3 2" xfId="681" xr:uid="{00000000-0005-0000-0000-0000AA020000}"/>
    <cellStyle name="Currency (0.00) 2 2 4" xfId="682" xr:uid="{00000000-0005-0000-0000-0000AB020000}"/>
    <cellStyle name="Currency (0.00) 2 2 5" xfId="683" xr:uid="{00000000-0005-0000-0000-0000AC020000}"/>
    <cellStyle name="Currency (0.00) 2 3" xfId="684" xr:uid="{00000000-0005-0000-0000-0000AD020000}"/>
    <cellStyle name="Currency (0.00) 2 3 2" xfId="685" xr:uid="{00000000-0005-0000-0000-0000AE020000}"/>
    <cellStyle name="Currency (0.00) 2 4" xfId="686" xr:uid="{00000000-0005-0000-0000-0000AF020000}"/>
    <cellStyle name="Currency (0.00) 2 4 2" xfId="687" xr:uid="{00000000-0005-0000-0000-0000B0020000}"/>
    <cellStyle name="Currency (0.00) 2 5" xfId="688" xr:uid="{00000000-0005-0000-0000-0000B1020000}"/>
    <cellStyle name="Currency (0.00) 2 5 2" xfId="689" xr:uid="{00000000-0005-0000-0000-0000B2020000}"/>
    <cellStyle name="Currency (0.00) 2 6" xfId="690" xr:uid="{00000000-0005-0000-0000-0000B3020000}"/>
    <cellStyle name="Currency (0.00) 2 7" xfId="691" xr:uid="{00000000-0005-0000-0000-0000B4020000}"/>
    <cellStyle name="Currency (0.00) 3" xfId="692" xr:uid="{00000000-0005-0000-0000-0000B5020000}"/>
    <cellStyle name="Currency (0.00) 3 2" xfId="693" xr:uid="{00000000-0005-0000-0000-0000B6020000}"/>
    <cellStyle name="Currency (0.00) 4" xfId="694" xr:uid="{00000000-0005-0000-0000-0000B7020000}"/>
    <cellStyle name="Currency [0]b" xfId="695" xr:uid="{00000000-0005-0000-0000-0000B8020000}"/>
    <cellStyle name="Currency [0]b 2" xfId="696" xr:uid="{00000000-0005-0000-0000-0000B9020000}"/>
    <cellStyle name="Currency [0]b 2 2" xfId="697" xr:uid="{00000000-0005-0000-0000-0000BA020000}"/>
    <cellStyle name="Currency [0]b 2 2 2" xfId="698" xr:uid="{00000000-0005-0000-0000-0000BB020000}"/>
    <cellStyle name="Currency [0]b 2 2 3" xfId="699" xr:uid="{00000000-0005-0000-0000-0000BC020000}"/>
    <cellStyle name="Currency [0]b 2 3" xfId="700" xr:uid="{00000000-0005-0000-0000-0000BD020000}"/>
    <cellStyle name="Currency [0]b 2 4" xfId="701" xr:uid="{00000000-0005-0000-0000-0000BE020000}"/>
    <cellStyle name="Currency [00]" xfId="702" xr:uid="{00000000-0005-0000-0000-0000BF020000}"/>
    <cellStyle name="Currency 2" xfId="703" xr:uid="{00000000-0005-0000-0000-0000C0020000}"/>
    <cellStyle name="Currency 2 2" xfId="704" xr:uid="{00000000-0005-0000-0000-0000C1020000}"/>
    <cellStyle name="Currency 2 2 2" xfId="705" xr:uid="{00000000-0005-0000-0000-0000C2020000}"/>
    <cellStyle name="Currency 2 2 2 2" xfId="706" xr:uid="{00000000-0005-0000-0000-0000C3020000}"/>
    <cellStyle name="Currency 2 2 2 2 2" xfId="707" xr:uid="{00000000-0005-0000-0000-0000C4020000}"/>
    <cellStyle name="Currency 2 2 2 2 2 2" xfId="708" xr:uid="{00000000-0005-0000-0000-0000C5020000}"/>
    <cellStyle name="Currency 2 2 2 2 2 3" xfId="709" xr:uid="{00000000-0005-0000-0000-0000C6020000}"/>
    <cellStyle name="Currency 2 2 2 2 3" xfId="710" xr:uid="{00000000-0005-0000-0000-0000C7020000}"/>
    <cellStyle name="Currency 2 2 2 2 4" xfId="711" xr:uid="{00000000-0005-0000-0000-0000C8020000}"/>
    <cellStyle name="Currency 2 2 3" xfId="712" xr:uid="{00000000-0005-0000-0000-0000C9020000}"/>
    <cellStyle name="Currency 2 2 4" xfId="713" xr:uid="{00000000-0005-0000-0000-0000CA020000}"/>
    <cellStyle name="Currency 2 2 4 2" xfId="714" xr:uid="{00000000-0005-0000-0000-0000CB020000}"/>
    <cellStyle name="Currency 2 2 4 2 2" xfId="715" xr:uid="{00000000-0005-0000-0000-0000CC020000}"/>
    <cellStyle name="Currency 2 2 4 2 3" xfId="716" xr:uid="{00000000-0005-0000-0000-0000CD020000}"/>
    <cellStyle name="Currency 2 2 4 3" xfId="717" xr:uid="{00000000-0005-0000-0000-0000CE020000}"/>
    <cellStyle name="Currency 2 2 4 4" xfId="718" xr:uid="{00000000-0005-0000-0000-0000CF020000}"/>
    <cellStyle name="Currency 2 3" xfId="719" xr:uid="{00000000-0005-0000-0000-0000D0020000}"/>
    <cellStyle name="Currency 2 3 2" xfId="720" xr:uid="{00000000-0005-0000-0000-0000D1020000}"/>
    <cellStyle name="Currency 2 3 2 2" xfId="721" xr:uid="{00000000-0005-0000-0000-0000D2020000}"/>
    <cellStyle name="Currency 2 3 2 3" xfId="722" xr:uid="{00000000-0005-0000-0000-0000D3020000}"/>
    <cellStyle name="Currency 2 3 3" xfId="723" xr:uid="{00000000-0005-0000-0000-0000D4020000}"/>
    <cellStyle name="Currency 2 3 4" xfId="724" xr:uid="{00000000-0005-0000-0000-0000D5020000}"/>
    <cellStyle name="Currency 2 4" xfId="725" xr:uid="{00000000-0005-0000-0000-0000D6020000}"/>
    <cellStyle name="Currency 2 5" xfId="726" xr:uid="{00000000-0005-0000-0000-0000D7020000}"/>
    <cellStyle name="Currency 2 5 2" xfId="727" xr:uid="{00000000-0005-0000-0000-0000D8020000}"/>
    <cellStyle name="Currency 2 5 2 2" xfId="728" xr:uid="{00000000-0005-0000-0000-0000D9020000}"/>
    <cellStyle name="Currency 2 5 2 3" xfId="729" xr:uid="{00000000-0005-0000-0000-0000DA020000}"/>
    <cellStyle name="Currency 2 5 3" xfId="730" xr:uid="{00000000-0005-0000-0000-0000DB020000}"/>
    <cellStyle name="Currency 2 5 4" xfId="731" xr:uid="{00000000-0005-0000-0000-0000DC020000}"/>
    <cellStyle name="Currency 3" xfId="732" xr:uid="{00000000-0005-0000-0000-0000DD020000}"/>
    <cellStyle name="Currency 3 2" xfId="733" xr:uid="{00000000-0005-0000-0000-0000DE020000}"/>
    <cellStyle name="Currency 3 2 2" xfId="734" xr:uid="{00000000-0005-0000-0000-0000DF020000}"/>
    <cellStyle name="Currency 3 2 2 2" xfId="735" xr:uid="{00000000-0005-0000-0000-0000E0020000}"/>
    <cellStyle name="Currency 3 2 2 3" xfId="736" xr:uid="{00000000-0005-0000-0000-0000E1020000}"/>
    <cellStyle name="Currency 3 2 3" xfId="737" xr:uid="{00000000-0005-0000-0000-0000E2020000}"/>
    <cellStyle name="Currency 3 2 4" xfId="738" xr:uid="{00000000-0005-0000-0000-0000E3020000}"/>
    <cellStyle name="Currency 3 3" xfId="739" xr:uid="{00000000-0005-0000-0000-0000E4020000}"/>
    <cellStyle name="Currency 3 4" xfId="740" xr:uid="{00000000-0005-0000-0000-0000E5020000}"/>
    <cellStyle name="Currency 3 4 2" xfId="741" xr:uid="{00000000-0005-0000-0000-0000E6020000}"/>
    <cellStyle name="Currency 3 4 2 2" xfId="742" xr:uid="{00000000-0005-0000-0000-0000E7020000}"/>
    <cellStyle name="Currency 3 4 2 3" xfId="743" xr:uid="{00000000-0005-0000-0000-0000E8020000}"/>
    <cellStyle name="Currency 3 4 3" xfId="744" xr:uid="{00000000-0005-0000-0000-0000E9020000}"/>
    <cellStyle name="Currency 3 4 4" xfId="745" xr:uid="{00000000-0005-0000-0000-0000EA020000}"/>
    <cellStyle name="Currency 4" xfId="746" xr:uid="{00000000-0005-0000-0000-0000EB020000}"/>
    <cellStyle name="Currency 4 2" xfId="747" xr:uid="{00000000-0005-0000-0000-0000EC020000}"/>
    <cellStyle name="Currency 4 2 2" xfId="748" xr:uid="{00000000-0005-0000-0000-0000ED020000}"/>
    <cellStyle name="Currency 4 2 2 2" xfId="749" xr:uid="{00000000-0005-0000-0000-0000EE020000}"/>
    <cellStyle name="Currency 4 2 2 2 2" xfId="750" xr:uid="{00000000-0005-0000-0000-0000EF020000}"/>
    <cellStyle name="Currency 4 2 2 2 3" xfId="751" xr:uid="{00000000-0005-0000-0000-0000F0020000}"/>
    <cellStyle name="Currency 4 2 2 3" xfId="752" xr:uid="{00000000-0005-0000-0000-0000F1020000}"/>
    <cellStyle name="Currency 4 2 2 4" xfId="753" xr:uid="{00000000-0005-0000-0000-0000F2020000}"/>
    <cellStyle name="Currency 4 3" xfId="754" xr:uid="{00000000-0005-0000-0000-0000F3020000}"/>
    <cellStyle name="Currency 4 4" xfId="755" xr:uid="{00000000-0005-0000-0000-0000F4020000}"/>
    <cellStyle name="Currency 4 4 2" xfId="756" xr:uid="{00000000-0005-0000-0000-0000F5020000}"/>
    <cellStyle name="Currency 4 4 2 2" xfId="757" xr:uid="{00000000-0005-0000-0000-0000F6020000}"/>
    <cellStyle name="Currency 4 4 2 3" xfId="758" xr:uid="{00000000-0005-0000-0000-0000F7020000}"/>
    <cellStyle name="Currency 4 4 3" xfId="759" xr:uid="{00000000-0005-0000-0000-0000F8020000}"/>
    <cellStyle name="Currency 4 4 4" xfId="760" xr:uid="{00000000-0005-0000-0000-0000F9020000}"/>
    <cellStyle name="Currency 5" xfId="761" xr:uid="{00000000-0005-0000-0000-0000FA020000}"/>
    <cellStyle name="Currency 5 2" xfId="762" xr:uid="{00000000-0005-0000-0000-0000FB020000}"/>
    <cellStyle name="Currency 5 3" xfId="763" xr:uid="{00000000-0005-0000-0000-0000FC020000}"/>
    <cellStyle name="Currency 5 3 2" xfId="764" xr:uid="{00000000-0005-0000-0000-0000FD020000}"/>
    <cellStyle name="Currency 5 3 3" xfId="765" xr:uid="{00000000-0005-0000-0000-0000FE020000}"/>
    <cellStyle name="Currency 5 4" xfId="766" xr:uid="{00000000-0005-0000-0000-0000FF020000}"/>
    <cellStyle name="Currency 6" xfId="767" xr:uid="{00000000-0005-0000-0000-000000030000}"/>
    <cellStyle name="Currency 6 2" xfId="768" xr:uid="{00000000-0005-0000-0000-000001030000}"/>
    <cellStyle name="Currency 6 2 2" xfId="769" xr:uid="{00000000-0005-0000-0000-000002030000}"/>
    <cellStyle name="Currency 6 2 3" xfId="770" xr:uid="{00000000-0005-0000-0000-000003030000}"/>
    <cellStyle name="Currency 6 3" xfId="771" xr:uid="{00000000-0005-0000-0000-000004030000}"/>
    <cellStyle name="Currency 7" xfId="772" xr:uid="{00000000-0005-0000-0000-000005030000}"/>
    <cellStyle name="Currency 7 2" xfId="773" xr:uid="{00000000-0005-0000-0000-000006030000}"/>
    <cellStyle name="Currency 7 2 2" xfId="774" xr:uid="{00000000-0005-0000-0000-000007030000}"/>
    <cellStyle name="Currency 7 2 3" xfId="775" xr:uid="{00000000-0005-0000-0000-000008030000}"/>
    <cellStyle name="Currency 7 3" xfId="776" xr:uid="{00000000-0005-0000-0000-000009030000}"/>
    <cellStyle name="Currency 8" xfId="777" xr:uid="{00000000-0005-0000-0000-00000A030000}"/>
    <cellStyle name="currency(2)" xfId="778" xr:uid="{00000000-0005-0000-0000-00000B030000}"/>
    <cellStyle name="currency(2) 2" xfId="779" xr:uid="{00000000-0005-0000-0000-00000C030000}"/>
    <cellStyle name="Currency0" xfId="780" xr:uid="{00000000-0005-0000-0000-00000D030000}"/>
    <cellStyle name="Currency0 2" xfId="781" xr:uid="{00000000-0005-0000-0000-00000E030000}"/>
    <cellStyle name="Currency1" xfId="782" xr:uid="{00000000-0005-0000-0000-00000F030000}"/>
    <cellStyle name="Data" xfId="783" xr:uid="{00000000-0005-0000-0000-000010030000}"/>
    <cellStyle name="Data 2" xfId="784" xr:uid="{00000000-0005-0000-0000-000011030000}"/>
    <cellStyle name="Date" xfId="785" xr:uid="{00000000-0005-0000-0000-000012030000}"/>
    <cellStyle name="Date - Style3" xfId="786" xr:uid="{00000000-0005-0000-0000-000013030000}"/>
    <cellStyle name="Date 10" xfId="787" xr:uid="{00000000-0005-0000-0000-000014030000}"/>
    <cellStyle name="Date 11" xfId="788" xr:uid="{00000000-0005-0000-0000-000015030000}"/>
    <cellStyle name="Date 12" xfId="789" xr:uid="{00000000-0005-0000-0000-000016030000}"/>
    <cellStyle name="Date 13" xfId="790" xr:uid="{00000000-0005-0000-0000-000017030000}"/>
    <cellStyle name="Date 2" xfId="791" xr:uid="{00000000-0005-0000-0000-000018030000}"/>
    <cellStyle name="Date 3" xfId="792" xr:uid="{00000000-0005-0000-0000-000019030000}"/>
    <cellStyle name="Date 4" xfId="793" xr:uid="{00000000-0005-0000-0000-00001A030000}"/>
    <cellStyle name="Date 5" xfId="794" xr:uid="{00000000-0005-0000-0000-00001B030000}"/>
    <cellStyle name="Date 6" xfId="795" xr:uid="{00000000-0005-0000-0000-00001C030000}"/>
    <cellStyle name="Date 7" xfId="796" xr:uid="{00000000-0005-0000-0000-00001D030000}"/>
    <cellStyle name="Date 8" xfId="797" xr:uid="{00000000-0005-0000-0000-00001E030000}"/>
    <cellStyle name="Date 9" xfId="798" xr:uid="{00000000-0005-0000-0000-00001F030000}"/>
    <cellStyle name="Date Short" xfId="799" xr:uid="{00000000-0005-0000-0000-000020030000}"/>
    <cellStyle name="datum" xfId="800" xr:uid="{00000000-0005-0000-0000-000021030000}"/>
    <cellStyle name="Dezimal [0]_96_97" xfId="801" xr:uid="{00000000-0005-0000-0000-000022030000}"/>
    <cellStyle name="Dezimal_96_97" xfId="802" xr:uid="{00000000-0005-0000-0000-000023030000}"/>
    <cellStyle name="Dollar (zero dec)" xfId="803" xr:uid="{00000000-0005-0000-0000-000024030000}"/>
    <cellStyle name="DUERIGHE" xfId="804" xr:uid="{00000000-0005-0000-0000-000025030000}"/>
    <cellStyle name="DUERIGHE 2" xfId="805" xr:uid="{00000000-0005-0000-0000-000026030000}"/>
    <cellStyle name="Enter Currency (0)" xfId="806" xr:uid="{00000000-0005-0000-0000-000027030000}"/>
    <cellStyle name="Enter Currency (2)" xfId="807" xr:uid="{00000000-0005-0000-0000-000028030000}"/>
    <cellStyle name="Enter Units (0)" xfId="808" xr:uid="{00000000-0005-0000-0000-000029030000}"/>
    <cellStyle name="Enter Units (1)" xfId="809" xr:uid="{00000000-0005-0000-0000-00002A030000}"/>
    <cellStyle name="Enter Units (1) 2" xfId="810" xr:uid="{00000000-0005-0000-0000-00002B030000}"/>
    <cellStyle name="Enter Units (2)" xfId="811" xr:uid="{00000000-0005-0000-0000-00002C030000}"/>
    <cellStyle name="Entered" xfId="812" xr:uid="{00000000-0005-0000-0000-00002D030000}"/>
    <cellStyle name="Equipment Description" xfId="813" xr:uid="{00000000-0005-0000-0000-00002E030000}"/>
    <cellStyle name="Equipment Item Number" xfId="814" xr:uid="{00000000-0005-0000-0000-00002F030000}"/>
    <cellStyle name="Equipment Name" xfId="815" xr:uid="{00000000-0005-0000-0000-000030030000}"/>
    <cellStyle name="Equipment SNR" xfId="816" xr:uid="{00000000-0005-0000-0000-000031030000}"/>
    <cellStyle name="Euro" xfId="817" xr:uid="{00000000-0005-0000-0000-000032030000}"/>
    <cellStyle name="Explanatory Text 2" xfId="818" xr:uid="{00000000-0005-0000-0000-000033030000}"/>
    <cellStyle name="Explanatory Text 3" xfId="819" xr:uid="{00000000-0005-0000-0000-000034030000}"/>
    <cellStyle name="F2" xfId="820" xr:uid="{00000000-0005-0000-0000-000035030000}"/>
    <cellStyle name="F3" xfId="821" xr:uid="{00000000-0005-0000-0000-000036030000}"/>
    <cellStyle name="F4" xfId="822" xr:uid="{00000000-0005-0000-0000-000037030000}"/>
    <cellStyle name="F5" xfId="823" xr:uid="{00000000-0005-0000-0000-000038030000}"/>
    <cellStyle name="F6" xfId="824" xr:uid="{00000000-0005-0000-0000-000039030000}"/>
    <cellStyle name="F7" xfId="825" xr:uid="{00000000-0005-0000-0000-00003A030000}"/>
    <cellStyle name="F8" xfId="826" xr:uid="{00000000-0005-0000-0000-00003B030000}"/>
    <cellStyle name="Fixed" xfId="827" xr:uid="{00000000-0005-0000-0000-00003C030000}"/>
    <cellStyle name="Fixed 2" xfId="828" xr:uid="{00000000-0005-0000-0000-00003D030000}"/>
    <cellStyle name="Footer" xfId="829" xr:uid="{00000000-0005-0000-0000-00003E030000}"/>
    <cellStyle name="Good 2" xfId="830" xr:uid="{00000000-0005-0000-0000-00003F030000}"/>
    <cellStyle name="Good 3" xfId="831" xr:uid="{00000000-0005-0000-0000-000040030000}"/>
    <cellStyle name="Grey" xfId="832" xr:uid="{00000000-0005-0000-0000-000041030000}"/>
    <cellStyle name="Group Description" xfId="833" xr:uid="{00000000-0005-0000-0000-000042030000}"/>
    <cellStyle name="Group Name" xfId="834" xr:uid="{00000000-0005-0000-0000-000043030000}"/>
    <cellStyle name="Group Price" xfId="835" xr:uid="{00000000-0005-0000-0000-000044030000}"/>
    <cellStyle name="Group Summary" xfId="836" xr:uid="{00000000-0005-0000-0000-000045030000}"/>
    <cellStyle name="Group Summary Price" xfId="837" xr:uid="{00000000-0005-0000-0000-000046030000}"/>
    <cellStyle name="Head 1" xfId="838" xr:uid="{00000000-0005-0000-0000-000047030000}"/>
    <cellStyle name="header" xfId="839" xr:uid="{00000000-0005-0000-0000-000048030000}"/>
    <cellStyle name="Header Total" xfId="840" xr:uid="{00000000-0005-0000-0000-000049030000}"/>
    <cellStyle name="Header1" xfId="841" xr:uid="{00000000-0005-0000-0000-00004A030000}"/>
    <cellStyle name="Header1 2" xfId="842" xr:uid="{00000000-0005-0000-0000-00004B030000}"/>
    <cellStyle name="Header2" xfId="843" xr:uid="{00000000-0005-0000-0000-00004C030000}"/>
    <cellStyle name="Header2 2" xfId="844" xr:uid="{00000000-0005-0000-0000-00004D030000}"/>
    <cellStyle name="Header2 2 2" xfId="845" xr:uid="{00000000-0005-0000-0000-00004E030000}"/>
    <cellStyle name="Header2 2 2 2" xfId="846" xr:uid="{00000000-0005-0000-0000-00004F030000}"/>
    <cellStyle name="Header2 2 2 3" xfId="847" xr:uid="{00000000-0005-0000-0000-000050030000}"/>
    <cellStyle name="Header2 2 2 4" xfId="848" xr:uid="{00000000-0005-0000-0000-000051030000}"/>
    <cellStyle name="Header2 2 2 5" xfId="849" xr:uid="{00000000-0005-0000-0000-000052030000}"/>
    <cellStyle name="Header2 2 3" xfId="850" xr:uid="{00000000-0005-0000-0000-000053030000}"/>
    <cellStyle name="Header2 2 4" xfId="851" xr:uid="{00000000-0005-0000-0000-000054030000}"/>
    <cellStyle name="Header2 2 5" xfId="852" xr:uid="{00000000-0005-0000-0000-000055030000}"/>
    <cellStyle name="Header2 2 6" xfId="853" xr:uid="{00000000-0005-0000-0000-000056030000}"/>
    <cellStyle name="Header2 2 7" xfId="854" xr:uid="{00000000-0005-0000-0000-000057030000}"/>
    <cellStyle name="Header3" xfId="855" xr:uid="{00000000-0005-0000-0000-000058030000}"/>
    <cellStyle name="Header4" xfId="856" xr:uid="{00000000-0005-0000-0000-000059030000}"/>
    <cellStyle name="Heading 1 2" xfId="857" xr:uid="{00000000-0005-0000-0000-00005A030000}"/>
    <cellStyle name="Heading 1 3" xfId="858" xr:uid="{00000000-0005-0000-0000-00005B030000}"/>
    <cellStyle name="Heading 2 2" xfId="859" xr:uid="{00000000-0005-0000-0000-00005C030000}"/>
    <cellStyle name="Heading 2 3" xfId="860" xr:uid="{00000000-0005-0000-0000-00005D030000}"/>
    <cellStyle name="Heading 3 2" xfId="861" xr:uid="{00000000-0005-0000-0000-00005E030000}"/>
    <cellStyle name="Heading 3 3" xfId="862" xr:uid="{00000000-0005-0000-0000-00005F030000}"/>
    <cellStyle name="Heading 4 2" xfId="863" xr:uid="{00000000-0005-0000-0000-000060030000}"/>
    <cellStyle name="Heading 4 3" xfId="864" xr:uid="{00000000-0005-0000-0000-000061030000}"/>
    <cellStyle name="HEADING1" xfId="865" xr:uid="{00000000-0005-0000-0000-000062030000}"/>
    <cellStyle name="HEADING2" xfId="866" xr:uid="{00000000-0005-0000-0000-000063030000}"/>
    <cellStyle name="HEADINGS" xfId="867" xr:uid="{00000000-0005-0000-0000-000064030000}"/>
    <cellStyle name="HEADINGSTOP" xfId="868" xr:uid="{00000000-0005-0000-0000-000065030000}"/>
    <cellStyle name="Hyperlink 2" xfId="869" xr:uid="{00000000-0005-0000-0000-000066030000}"/>
    <cellStyle name="Input [yellow]" xfId="870" xr:uid="{00000000-0005-0000-0000-000067030000}"/>
    <cellStyle name="Input [yellow] 2" xfId="871" xr:uid="{00000000-0005-0000-0000-000068030000}"/>
    <cellStyle name="Input [yellow] 2 2" xfId="872" xr:uid="{00000000-0005-0000-0000-000069030000}"/>
    <cellStyle name="Input [yellow] 3" xfId="873" xr:uid="{00000000-0005-0000-0000-00006A030000}"/>
    <cellStyle name="Input [yellow] 3 2" xfId="874" xr:uid="{00000000-0005-0000-0000-00006B030000}"/>
    <cellStyle name="Input [yellow] 4" xfId="875" xr:uid="{00000000-0005-0000-0000-00006C030000}"/>
    <cellStyle name="Input 10" xfId="876" xr:uid="{00000000-0005-0000-0000-00006D030000}"/>
    <cellStyle name="Input 10 2" xfId="877" xr:uid="{00000000-0005-0000-0000-00006E030000}"/>
    <cellStyle name="Input 10 2 2" xfId="878" xr:uid="{00000000-0005-0000-0000-00006F030000}"/>
    <cellStyle name="Input 10 2 3" xfId="879" xr:uid="{00000000-0005-0000-0000-000070030000}"/>
    <cellStyle name="Input 10 2 4" xfId="880" xr:uid="{00000000-0005-0000-0000-000071030000}"/>
    <cellStyle name="Input 10 2 5" xfId="881" xr:uid="{00000000-0005-0000-0000-000072030000}"/>
    <cellStyle name="Input 10 2 6" xfId="882" xr:uid="{00000000-0005-0000-0000-000073030000}"/>
    <cellStyle name="Input 10 2 7" xfId="883" xr:uid="{00000000-0005-0000-0000-000074030000}"/>
    <cellStyle name="Input 10 3" xfId="884" xr:uid="{00000000-0005-0000-0000-000075030000}"/>
    <cellStyle name="Input 10 4" xfId="885" xr:uid="{00000000-0005-0000-0000-000076030000}"/>
    <cellStyle name="Input 10 5" xfId="886" xr:uid="{00000000-0005-0000-0000-000077030000}"/>
    <cellStyle name="Input 10 6" xfId="887" xr:uid="{00000000-0005-0000-0000-000078030000}"/>
    <cellStyle name="Input 10 7" xfId="888" xr:uid="{00000000-0005-0000-0000-000079030000}"/>
    <cellStyle name="Input 11" xfId="889" xr:uid="{00000000-0005-0000-0000-00007A030000}"/>
    <cellStyle name="Input 11 2" xfId="890" xr:uid="{00000000-0005-0000-0000-00007B030000}"/>
    <cellStyle name="Input 11 2 2" xfId="891" xr:uid="{00000000-0005-0000-0000-00007C030000}"/>
    <cellStyle name="Input 11 2 3" xfId="892" xr:uid="{00000000-0005-0000-0000-00007D030000}"/>
    <cellStyle name="Input 11 2 4" xfId="893" xr:uid="{00000000-0005-0000-0000-00007E030000}"/>
    <cellStyle name="Input 11 2 5" xfId="894" xr:uid="{00000000-0005-0000-0000-00007F030000}"/>
    <cellStyle name="Input 11 2 6" xfId="895" xr:uid="{00000000-0005-0000-0000-000080030000}"/>
    <cellStyle name="Input 11 2 7" xfId="896" xr:uid="{00000000-0005-0000-0000-000081030000}"/>
    <cellStyle name="Input 11 3" xfId="897" xr:uid="{00000000-0005-0000-0000-000082030000}"/>
    <cellStyle name="Input 11 4" xfId="898" xr:uid="{00000000-0005-0000-0000-000083030000}"/>
    <cellStyle name="Input 11 5" xfId="899" xr:uid="{00000000-0005-0000-0000-000084030000}"/>
    <cellStyle name="Input 11 6" xfId="900" xr:uid="{00000000-0005-0000-0000-000085030000}"/>
    <cellStyle name="Input 11 7" xfId="901" xr:uid="{00000000-0005-0000-0000-000086030000}"/>
    <cellStyle name="Input 12" xfId="902" xr:uid="{00000000-0005-0000-0000-000087030000}"/>
    <cellStyle name="Input 12 2" xfId="903" xr:uid="{00000000-0005-0000-0000-000088030000}"/>
    <cellStyle name="Input 12 2 2" xfId="904" xr:uid="{00000000-0005-0000-0000-000089030000}"/>
    <cellStyle name="Input 12 2 3" xfId="905" xr:uid="{00000000-0005-0000-0000-00008A030000}"/>
    <cellStyle name="Input 12 2 4" xfId="906" xr:uid="{00000000-0005-0000-0000-00008B030000}"/>
    <cellStyle name="Input 12 2 5" xfId="907" xr:uid="{00000000-0005-0000-0000-00008C030000}"/>
    <cellStyle name="Input 12 2 6" xfId="908" xr:uid="{00000000-0005-0000-0000-00008D030000}"/>
    <cellStyle name="Input 12 2 7" xfId="909" xr:uid="{00000000-0005-0000-0000-00008E030000}"/>
    <cellStyle name="Input 12 3" xfId="910" xr:uid="{00000000-0005-0000-0000-00008F030000}"/>
    <cellStyle name="Input 12 4" xfId="911" xr:uid="{00000000-0005-0000-0000-000090030000}"/>
    <cellStyle name="Input 12 5" xfId="912" xr:uid="{00000000-0005-0000-0000-000091030000}"/>
    <cellStyle name="Input 12 6" xfId="913" xr:uid="{00000000-0005-0000-0000-000092030000}"/>
    <cellStyle name="Input 12 7" xfId="914" xr:uid="{00000000-0005-0000-0000-000093030000}"/>
    <cellStyle name="Input 13" xfId="915" xr:uid="{00000000-0005-0000-0000-000094030000}"/>
    <cellStyle name="Input 13 2" xfId="916" xr:uid="{00000000-0005-0000-0000-000095030000}"/>
    <cellStyle name="Input 13 2 2" xfId="917" xr:uid="{00000000-0005-0000-0000-000096030000}"/>
    <cellStyle name="Input 13 2 3" xfId="918" xr:uid="{00000000-0005-0000-0000-000097030000}"/>
    <cellStyle name="Input 13 2 4" xfId="919" xr:uid="{00000000-0005-0000-0000-000098030000}"/>
    <cellStyle name="Input 13 2 5" xfId="920" xr:uid="{00000000-0005-0000-0000-000099030000}"/>
    <cellStyle name="Input 13 2 6" xfId="921" xr:uid="{00000000-0005-0000-0000-00009A030000}"/>
    <cellStyle name="Input 13 2 7" xfId="922" xr:uid="{00000000-0005-0000-0000-00009B030000}"/>
    <cellStyle name="Input 13 3" xfId="923" xr:uid="{00000000-0005-0000-0000-00009C030000}"/>
    <cellStyle name="Input 13 4" xfId="924" xr:uid="{00000000-0005-0000-0000-00009D030000}"/>
    <cellStyle name="Input 13 5" xfId="925" xr:uid="{00000000-0005-0000-0000-00009E030000}"/>
    <cellStyle name="Input 13 6" xfId="926" xr:uid="{00000000-0005-0000-0000-00009F030000}"/>
    <cellStyle name="Input 13 7" xfId="927" xr:uid="{00000000-0005-0000-0000-0000A0030000}"/>
    <cellStyle name="Input 2" xfId="928" xr:uid="{00000000-0005-0000-0000-0000A1030000}"/>
    <cellStyle name="Input 2 2" xfId="929" xr:uid="{00000000-0005-0000-0000-0000A2030000}"/>
    <cellStyle name="Input 2 2 2" xfId="930" xr:uid="{00000000-0005-0000-0000-0000A3030000}"/>
    <cellStyle name="Input 2 2 2 2" xfId="931" xr:uid="{00000000-0005-0000-0000-0000A4030000}"/>
    <cellStyle name="Input 2 2 2 3" xfId="932" xr:uid="{00000000-0005-0000-0000-0000A5030000}"/>
    <cellStyle name="Input 2 2 2 4" xfId="933" xr:uid="{00000000-0005-0000-0000-0000A6030000}"/>
    <cellStyle name="Input 2 2 2 5" xfId="934" xr:uid="{00000000-0005-0000-0000-0000A7030000}"/>
    <cellStyle name="Input 2 2 2 6" xfId="935" xr:uid="{00000000-0005-0000-0000-0000A8030000}"/>
    <cellStyle name="Input 2 2 2 7" xfId="936" xr:uid="{00000000-0005-0000-0000-0000A9030000}"/>
    <cellStyle name="Input 2 2 3" xfId="937" xr:uid="{00000000-0005-0000-0000-0000AA030000}"/>
    <cellStyle name="Input 2 2 4" xfId="938" xr:uid="{00000000-0005-0000-0000-0000AB030000}"/>
    <cellStyle name="Input 2 2 5" xfId="939" xr:uid="{00000000-0005-0000-0000-0000AC030000}"/>
    <cellStyle name="Input 2 2 6" xfId="940" xr:uid="{00000000-0005-0000-0000-0000AD030000}"/>
    <cellStyle name="Input 2 2 7" xfId="941" xr:uid="{00000000-0005-0000-0000-0000AE030000}"/>
    <cellStyle name="Input 2 3" xfId="942" xr:uid="{00000000-0005-0000-0000-0000AF030000}"/>
    <cellStyle name="Input 2 3 2" xfId="943" xr:uid="{00000000-0005-0000-0000-0000B0030000}"/>
    <cellStyle name="Input 2 3 3" xfId="944" xr:uid="{00000000-0005-0000-0000-0000B1030000}"/>
    <cellStyle name="Input 2 3 4" xfId="945" xr:uid="{00000000-0005-0000-0000-0000B2030000}"/>
    <cellStyle name="Input 2 3 5" xfId="946" xr:uid="{00000000-0005-0000-0000-0000B3030000}"/>
    <cellStyle name="Input 2 3 6" xfId="947" xr:uid="{00000000-0005-0000-0000-0000B4030000}"/>
    <cellStyle name="Input 2 3 7" xfId="948" xr:uid="{00000000-0005-0000-0000-0000B5030000}"/>
    <cellStyle name="Input 2 4" xfId="949" xr:uid="{00000000-0005-0000-0000-0000B6030000}"/>
    <cellStyle name="Input 2 5" xfId="950" xr:uid="{00000000-0005-0000-0000-0000B7030000}"/>
    <cellStyle name="Input 2 6" xfId="951" xr:uid="{00000000-0005-0000-0000-0000B8030000}"/>
    <cellStyle name="Input 2 7" xfId="952" xr:uid="{00000000-0005-0000-0000-0000B9030000}"/>
    <cellStyle name="Input 2 8" xfId="953" xr:uid="{00000000-0005-0000-0000-0000BA030000}"/>
    <cellStyle name="Input 3" xfId="954" xr:uid="{00000000-0005-0000-0000-0000BB030000}"/>
    <cellStyle name="Input 3 2" xfId="955" xr:uid="{00000000-0005-0000-0000-0000BC030000}"/>
    <cellStyle name="Input 3 2 2" xfId="956" xr:uid="{00000000-0005-0000-0000-0000BD030000}"/>
    <cellStyle name="Input 3 2 3" xfId="957" xr:uid="{00000000-0005-0000-0000-0000BE030000}"/>
    <cellStyle name="Input 3 2 4" xfId="958" xr:uid="{00000000-0005-0000-0000-0000BF030000}"/>
    <cellStyle name="Input 3 2 5" xfId="959" xr:uid="{00000000-0005-0000-0000-0000C0030000}"/>
    <cellStyle name="Input 3 2 6" xfId="960" xr:uid="{00000000-0005-0000-0000-0000C1030000}"/>
    <cellStyle name="Input 3 2 7" xfId="961" xr:uid="{00000000-0005-0000-0000-0000C2030000}"/>
    <cellStyle name="Input 3 3" xfId="962" xr:uid="{00000000-0005-0000-0000-0000C3030000}"/>
    <cellStyle name="Input 3 4" xfId="963" xr:uid="{00000000-0005-0000-0000-0000C4030000}"/>
    <cellStyle name="Input 3 5" xfId="964" xr:uid="{00000000-0005-0000-0000-0000C5030000}"/>
    <cellStyle name="Input 3 6" xfId="965" xr:uid="{00000000-0005-0000-0000-0000C6030000}"/>
    <cellStyle name="Input 3 7" xfId="966" xr:uid="{00000000-0005-0000-0000-0000C7030000}"/>
    <cellStyle name="Input 4" xfId="967" xr:uid="{00000000-0005-0000-0000-0000C8030000}"/>
    <cellStyle name="Input 4 2" xfId="968" xr:uid="{00000000-0005-0000-0000-0000C9030000}"/>
    <cellStyle name="Input 4 2 2" xfId="969" xr:uid="{00000000-0005-0000-0000-0000CA030000}"/>
    <cellStyle name="Input 4 2 3" xfId="970" xr:uid="{00000000-0005-0000-0000-0000CB030000}"/>
    <cellStyle name="Input 4 2 4" xfId="971" xr:uid="{00000000-0005-0000-0000-0000CC030000}"/>
    <cellStyle name="Input 4 2 5" xfId="972" xr:uid="{00000000-0005-0000-0000-0000CD030000}"/>
    <cellStyle name="Input 4 2 6" xfId="973" xr:uid="{00000000-0005-0000-0000-0000CE030000}"/>
    <cellStyle name="Input 4 2 7" xfId="974" xr:uid="{00000000-0005-0000-0000-0000CF030000}"/>
    <cellStyle name="Input 4 3" xfId="975" xr:uid="{00000000-0005-0000-0000-0000D0030000}"/>
    <cellStyle name="Input 4 4" xfId="976" xr:uid="{00000000-0005-0000-0000-0000D1030000}"/>
    <cellStyle name="Input 4 5" xfId="977" xr:uid="{00000000-0005-0000-0000-0000D2030000}"/>
    <cellStyle name="Input 4 6" xfId="978" xr:uid="{00000000-0005-0000-0000-0000D3030000}"/>
    <cellStyle name="Input 4 7" xfId="979" xr:uid="{00000000-0005-0000-0000-0000D4030000}"/>
    <cellStyle name="Input 5" xfId="980" xr:uid="{00000000-0005-0000-0000-0000D5030000}"/>
    <cellStyle name="Input 5 2" xfId="981" xr:uid="{00000000-0005-0000-0000-0000D6030000}"/>
    <cellStyle name="Input 5 2 2" xfId="982" xr:uid="{00000000-0005-0000-0000-0000D7030000}"/>
    <cellStyle name="Input 5 2 3" xfId="983" xr:uid="{00000000-0005-0000-0000-0000D8030000}"/>
    <cellStyle name="Input 5 2 4" xfId="984" xr:uid="{00000000-0005-0000-0000-0000D9030000}"/>
    <cellStyle name="Input 5 2 5" xfId="985" xr:uid="{00000000-0005-0000-0000-0000DA030000}"/>
    <cellStyle name="Input 5 2 6" xfId="986" xr:uid="{00000000-0005-0000-0000-0000DB030000}"/>
    <cellStyle name="Input 5 2 7" xfId="987" xr:uid="{00000000-0005-0000-0000-0000DC030000}"/>
    <cellStyle name="Input 5 3" xfId="988" xr:uid="{00000000-0005-0000-0000-0000DD030000}"/>
    <cellStyle name="Input 5 4" xfId="989" xr:uid="{00000000-0005-0000-0000-0000DE030000}"/>
    <cellStyle name="Input 5 5" xfId="990" xr:uid="{00000000-0005-0000-0000-0000DF030000}"/>
    <cellStyle name="Input 5 6" xfId="991" xr:uid="{00000000-0005-0000-0000-0000E0030000}"/>
    <cellStyle name="Input 5 7" xfId="992" xr:uid="{00000000-0005-0000-0000-0000E1030000}"/>
    <cellStyle name="Input 6" xfId="993" xr:uid="{00000000-0005-0000-0000-0000E2030000}"/>
    <cellStyle name="Input 6 2" xfId="994" xr:uid="{00000000-0005-0000-0000-0000E3030000}"/>
    <cellStyle name="Input 6 2 2" xfId="995" xr:uid="{00000000-0005-0000-0000-0000E4030000}"/>
    <cellStyle name="Input 6 2 3" xfId="996" xr:uid="{00000000-0005-0000-0000-0000E5030000}"/>
    <cellStyle name="Input 6 2 4" xfId="997" xr:uid="{00000000-0005-0000-0000-0000E6030000}"/>
    <cellStyle name="Input 6 2 5" xfId="998" xr:uid="{00000000-0005-0000-0000-0000E7030000}"/>
    <cellStyle name="Input 6 2 6" xfId="999" xr:uid="{00000000-0005-0000-0000-0000E8030000}"/>
    <cellStyle name="Input 6 2 7" xfId="1000" xr:uid="{00000000-0005-0000-0000-0000E9030000}"/>
    <cellStyle name="Input 6 3" xfId="1001" xr:uid="{00000000-0005-0000-0000-0000EA030000}"/>
    <cellStyle name="Input 6 4" xfId="1002" xr:uid="{00000000-0005-0000-0000-0000EB030000}"/>
    <cellStyle name="Input 6 5" xfId="1003" xr:uid="{00000000-0005-0000-0000-0000EC030000}"/>
    <cellStyle name="Input 6 6" xfId="1004" xr:uid="{00000000-0005-0000-0000-0000ED030000}"/>
    <cellStyle name="Input 6 7" xfId="1005" xr:uid="{00000000-0005-0000-0000-0000EE030000}"/>
    <cellStyle name="Input 7" xfId="1006" xr:uid="{00000000-0005-0000-0000-0000EF030000}"/>
    <cellStyle name="Input 7 2" xfId="1007" xr:uid="{00000000-0005-0000-0000-0000F0030000}"/>
    <cellStyle name="Input 7 2 2" xfId="1008" xr:uid="{00000000-0005-0000-0000-0000F1030000}"/>
    <cellStyle name="Input 7 2 3" xfId="1009" xr:uid="{00000000-0005-0000-0000-0000F2030000}"/>
    <cellStyle name="Input 7 2 4" xfId="1010" xr:uid="{00000000-0005-0000-0000-0000F3030000}"/>
    <cellStyle name="Input 7 2 5" xfId="1011" xr:uid="{00000000-0005-0000-0000-0000F4030000}"/>
    <cellStyle name="Input 7 2 6" xfId="1012" xr:uid="{00000000-0005-0000-0000-0000F5030000}"/>
    <cellStyle name="Input 7 2 7" xfId="1013" xr:uid="{00000000-0005-0000-0000-0000F6030000}"/>
    <cellStyle name="Input 7 3" xfId="1014" xr:uid="{00000000-0005-0000-0000-0000F7030000}"/>
    <cellStyle name="Input 7 4" xfId="1015" xr:uid="{00000000-0005-0000-0000-0000F8030000}"/>
    <cellStyle name="Input 7 5" xfId="1016" xr:uid="{00000000-0005-0000-0000-0000F9030000}"/>
    <cellStyle name="Input 7 6" xfId="1017" xr:uid="{00000000-0005-0000-0000-0000FA030000}"/>
    <cellStyle name="Input 7 7" xfId="1018" xr:uid="{00000000-0005-0000-0000-0000FB030000}"/>
    <cellStyle name="Input 8" xfId="1019" xr:uid="{00000000-0005-0000-0000-0000FC030000}"/>
    <cellStyle name="Input 8 2" xfId="1020" xr:uid="{00000000-0005-0000-0000-0000FD030000}"/>
    <cellStyle name="Input 8 2 2" xfId="1021" xr:uid="{00000000-0005-0000-0000-0000FE030000}"/>
    <cellStyle name="Input 8 2 3" xfId="1022" xr:uid="{00000000-0005-0000-0000-0000FF030000}"/>
    <cellStyle name="Input 8 2 4" xfId="1023" xr:uid="{00000000-0005-0000-0000-000000040000}"/>
    <cellStyle name="Input 8 2 5" xfId="1024" xr:uid="{00000000-0005-0000-0000-000001040000}"/>
    <cellStyle name="Input 8 2 6" xfId="1025" xr:uid="{00000000-0005-0000-0000-000002040000}"/>
    <cellStyle name="Input 8 2 7" xfId="1026" xr:uid="{00000000-0005-0000-0000-000003040000}"/>
    <cellStyle name="Input 8 3" xfId="1027" xr:uid="{00000000-0005-0000-0000-000004040000}"/>
    <cellStyle name="Input 8 4" xfId="1028" xr:uid="{00000000-0005-0000-0000-000005040000}"/>
    <cellStyle name="Input 8 5" xfId="1029" xr:uid="{00000000-0005-0000-0000-000006040000}"/>
    <cellStyle name="Input 8 6" xfId="1030" xr:uid="{00000000-0005-0000-0000-000007040000}"/>
    <cellStyle name="Input 8 7" xfId="1031" xr:uid="{00000000-0005-0000-0000-000008040000}"/>
    <cellStyle name="Input 9" xfId="1032" xr:uid="{00000000-0005-0000-0000-000009040000}"/>
    <cellStyle name="Input 9 2" xfId="1033" xr:uid="{00000000-0005-0000-0000-00000A040000}"/>
    <cellStyle name="Input 9 2 2" xfId="1034" xr:uid="{00000000-0005-0000-0000-00000B040000}"/>
    <cellStyle name="Input 9 2 3" xfId="1035" xr:uid="{00000000-0005-0000-0000-00000C040000}"/>
    <cellStyle name="Input 9 2 4" xfId="1036" xr:uid="{00000000-0005-0000-0000-00000D040000}"/>
    <cellStyle name="Input 9 2 5" xfId="1037" xr:uid="{00000000-0005-0000-0000-00000E040000}"/>
    <cellStyle name="Input 9 2 6" xfId="1038" xr:uid="{00000000-0005-0000-0000-00000F040000}"/>
    <cellStyle name="Input 9 2 7" xfId="1039" xr:uid="{00000000-0005-0000-0000-000010040000}"/>
    <cellStyle name="Input 9 3" xfId="1040" xr:uid="{00000000-0005-0000-0000-000011040000}"/>
    <cellStyle name="Input 9 4" xfId="1041" xr:uid="{00000000-0005-0000-0000-000012040000}"/>
    <cellStyle name="Input 9 5" xfId="1042" xr:uid="{00000000-0005-0000-0000-000013040000}"/>
    <cellStyle name="Input 9 6" xfId="1043" xr:uid="{00000000-0005-0000-0000-000014040000}"/>
    <cellStyle name="Input 9 7" xfId="1044" xr:uid="{00000000-0005-0000-0000-000015040000}"/>
    <cellStyle name="line no" xfId="1045" xr:uid="{00000000-0005-0000-0000-000016040000}"/>
    <cellStyle name="Link Currency (0)" xfId="1046" xr:uid="{00000000-0005-0000-0000-000017040000}"/>
    <cellStyle name="Link Currency (2)" xfId="1047" xr:uid="{00000000-0005-0000-0000-000018040000}"/>
    <cellStyle name="Link Units (0)" xfId="1048" xr:uid="{00000000-0005-0000-0000-000019040000}"/>
    <cellStyle name="Link Units (1)" xfId="1049" xr:uid="{00000000-0005-0000-0000-00001A040000}"/>
    <cellStyle name="Link Units (1) 2" xfId="1050" xr:uid="{00000000-0005-0000-0000-00001B040000}"/>
    <cellStyle name="Link Units (2)" xfId="1051" xr:uid="{00000000-0005-0000-0000-00001C040000}"/>
    <cellStyle name="Linked Cell 2" xfId="1052" xr:uid="{00000000-0005-0000-0000-00001D040000}"/>
    <cellStyle name="Linked Cell 3" xfId="1053" xr:uid="{00000000-0005-0000-0000-00001E040000}"/>
    <cellStyle name="Migliaia (0)_22013-A" xfId="1054" xr:uid="{00000000-0005-0000-0000-00001F040000}"/>
    <cellStyle name="Neutral 2" xfId="1055" xr:uid="{00000000-0005-0000-0000-000020040000}"/>
    <cellStyle name="Neutral 3" xfId="1056" xr:uid="{00000000-0005-0000-0000-000021040000}"/>
    <cellStyle name="NonPrint_Heading" xfId="1057" xr:uid="{00000000-0005-0000-0000-000022040000}"/>
    <cellStyle name="Normal" xfId="0" builtinId="0"/>
    <cellStyle name="Normal - Style1" xfId="1058" xr:uid="{00000000-0005-0000-0000-000024040000}"/>
    <cellStyle name="Normal - Style1 2" xfId="1059" xr:uid="{00000000-0005-0000-0000-000025040000}"/>
    <cellStyle name="Normal - Style2" xfId="1060" xr:uid="{00000000-0005-0000-0000-000026040000}"/>
    <cellStyle name="Normal 1" xfId="1061" xr:uid="{00000000-0005-0000-0000-000027040000}"/>
    <cellStyle name="Normal 10" xfId="1062" xr:uid="{00000000-0005-0000-0000-000028040000}"/>
    <cellStyle name="Normal 10 2" xfId="1063" xr:uid="{00000000-0005-0000-0000-000029040000}"/>
    <cellStyle name="Normal 10 2 2" xfId="1064" xr:uid="{00000000-0005-0000-0000-00002A040000}"/>
    <cellStyle name="Normal 10 3" xfId="1065" xr:uid="{00000000-0005-0000-0000-00002B040000}"/>
    <cellStyle name="Normal 10 4" xfId="1066" xr:uid="{00000000-0005-0000-0000-00002C040000}"/>
    <cellStyle name="Normal 10 5" xfId="1067" xr:uid="{00000000-0005-0000-0000-00002D040000}"/>
    <cellStyle name="Normal 10 6" xfId="1068" xr:uid="{00000000-0005-0000-0000-00002E040000}"/>
    <cellStyle name="Normal 10 6 2" xfId="1069" xr:uid="{00000000-0005-0000-0000-00002F040000}"/>
    <cellStyle name="Normal 100" xfId="1070" xr:uid="{00000000-0005-0000-0000-000030040000}"/>
    <cellStyle name="Normal 100 2" xfId="1071" xr:uid="{00000000-0005-0000-0000-000031040000}"/>
    <cellStyle name="Normal 101" xfId="1072" xr:uid="{00000000-0005-0000-0000-000032040000}"/>
    <cellStyle name="Normal 102" xfId="1073" xr:uid="{00000000-0005-0000-0000-000033040000}"/>
    <cellStyle name="Normal 103" xfId="1074" xr:uid="{00000000-0005-0000-0000-000034040000}"/>
    <cellStyle name="Normal 104" xfId="1075" xr:uid="{00000000-0005-0000-0000-000035040000}"/>
    <cellStyle name="Normal 105" xfId="1076" xr:uid="{00000000-0005-0000-0000-000036040000}"/>
    <cellStyle name="Normal 106" xfId="1077" xr:uid="{00000000-0005-0000-0000-000037040000}"/>
    <cellStyle name="Normal 107" xfId="1078" xr:uid="{00000000-0005-0000-0000-000038040000}"/>
    <cellStyle name="Normal 108" xfId="1079" xr:uid="{00000000-0005-0000-0000-000039040000}"/>
    <cellStyle name="Normal 109" xfId="1080" xr:uid="{00000000-0005-0000-0000-00003A040000}"/>
    <cellStyle name="Normal 11" xfId="1081" xr:uid="{00000000-0005-0000-0000-00003B040000}"/>
    <cellStyle name="Normal 11 2" xfId="1082" xr:uid="{00000000-0005-0000-0000-00003C040000}"/>
    <cellStyle name="Normal 11 3" xfId="1083" xr:uid="{00000000-0005-0000-0000-00003D040000}"/>
    <cellStyle name="Normal 11 3 2" xfId="1084" xr:uid="{00000000-0005-0000-0000-00003E040000}"/>
    <cellStyle name="Normal 110" xfId="1085" xr:uid="{00000000-0005-0000-0000-00003F040000}"/>
    <cellStyle name="Normal 111" xfId="1086" xr:uid="{00000000-0005-0000-0000-000040040000}"/>
    <cellStyle name="Normal 112" xfId="1087" xr:uid="{00000000-0005-0000-0000-000041040000}"/>
    <cellStyle name="Normal 113" xfId="1088" xr:uid="{00000000-0005-0000-0000-000042040000}"/>
    <cellStyle name="Normal 114" xfId="1867" xr:uid="{00000000-0005-0000-0000-000043040000}"/>
    <cellStyle name="Normal 12" xfId="1089" xr:uid="{00000000-0005-0000-0000-000044040000}"/>
    <cellStyle name="Normal 12 2" xfId="1090" xr:uid="{00000000-0005-0000-0000-000045040000}"/>
    <cellStyle name="Normal 12 3" xfId="1091" xr:uid="{00000000-0005-0000-0000-000046040000}"/>
    <cellStyle name="Normal 12 3 2" xfId="1092" xr:uid="{00000000-0005-0000-0000-000047040000}"/>
    <cellStyle name="Normal 12 4" xfId="1093" xr:uid="{00000000-0005-0000-0000-000048040000}"/>
    <cellStyle name="Normal 123" xfId="1094" xr:uid="{00000000-0005-0000-0000-000049040000}"/>
    <cellStyle name="Normal 13" xfId="1095" xr:uid="{00000000-0005-0000-0000-00004A040000}"/>
    <cellStyle name="Normal 13 2" xfId="1096" xr:uid="{00000000-0005-0000-0000-00004B040000}"/>
    <cellStyle name="Normal 13 2 2" xfId="1097" xr:uid="{00000000-0005-0000-0000-00004C040000}"/>
    <cellStyle name="Normal 13 2 3" xfId="1098" xr:uid="{00000000-0005-0000-0000-00004D040000}"/>
    <cellStyle name="Normal 13 3" xfId="1099" xr:uid="{00000000-0005-0000-0000-00004E040000}"/>
    <cellStyle name="Normal 13 3 2" xfId="1100" xr:uid="{00000000-0005-0000-0000-00004F040000}"/>
    <cellStyle name="Normal 13 4" xfId="1101" xr:uid="{00000000-0005-0000-0000-000050040000}"/>
    <cellStyle name="Normal 14" xfId="1102" xr:uid="{00000000-0005-0000-0000-000051040000}"/>
    <cellStyle name="Normal 14 2" xfId="1103" xr:uid="{00000000-0005-0000-0000-000052040000}"/>
    <cellStyle name="Normal 14 3" xfId="1104" xr:uid="{00000000-0005-0000-0000-000053040000}"/>
    <cellStyle name="Normal 14 3 2" xfId="1105" xr:uid="{00000000-0005-0000-0000-000054040000}"/>
    <cellStyle name="Normal 14 4" xfId="1106" xr:uid="{00000000-0005-0000-0000-000055040000}"/>
    <cellStyle name="Normal 15" xfId="1107" xr:uid="{00000000-0005-0000-0000-000056040000}"/>
    <cellStyle name="Normal 15 2" xfId="1108" xr:uid="{00000000-0005-0000-0000-000057040000}"/>
    <cellStyle name="Normal 15 3" xfId="1109" xr:uid="{00000000-0005-0000-0000-000058040000}"/>
    <cellStyle name="Normal 15 3 2" xfId="1110" xr:uid="{00000000-0005-0000-0000-000059040000}"/>
    <cellStyle name="Normal 16" xfId="1111" xr:uid="{00000000-0005-0000-0000-00005A040000}"/>
    <cellStyle name="Normal 16 2" xfId="1112" xr:uid="{00000000-0005-0000-0000-00005B040000}"/>
    <cellStyle name="Normal 16 2 2" xfId="1113" xr:uid="{00000000-0005-0000-0000-00005C040000}"/>
    <cellStyle name="Normal 16 2 3" xfId="1114" xr:uid="{00000000-0005-0000-0000-00005D040000}"/>
    <cellStyle name="Normal 16 2 4" xfId="1115" xr:uid="{00000000-0005-0000-0000-00005E040000}"/>
    <cellStyle name="Normal 16 3" xfId="1116" xr:uid="{00000000-0005-0000-0000-00005F040000}"/>
    <cellStyle name="Normal 16 3 2" xfId="1117" xr:uid="{00000000-0005-0000-0000-000060040000}"/>
    <cellStyle name="Normal 16_Overall" xfId="1118" xr:uid="{00000000-0005-0000-0000-000061040000}"/>
    <cellStyle name="Normal 17" xfId="1119" xr:uid="{00000000-0005-0000-0000-000062040000}"/>
    <cellStyle name="Normal 17 2" xfId="1120" xr:uid="{00000000-0005-0000-0000-000063040000}"/>
    <cellStyle name="Normal 17 2 2" xfId="1121" xr:uid="{00000000-0005-0000-0000-000064040000}"/>
    <cellStyle name="Normal 17 2 3" xfId="1122" xr:uid="{00000000-0005-0000-0000-000065040000}"/>
    <cellStyle name="Normal 17 2 4" xfId="1123" xr:uid="{00000000-0005-0000-0000-000066040000}"/>
    <cellStyle name="Normal 17 3" xfId="1124" xr:uid="{00000000-0005-0000-0000-000067040000}"/>
    <cellStyle name="Normal 17 3 2" xfId="1125" xr:uid="{00000000-0005-0000-0000-000068040000}"/>
    <cellStyle name="Normal 17_Overall" xfId="1126" xr:uid="{00000000-0005-0000-0000-000069040000}"/>
    <cellStyle name="Normal 18" xfId="1127" xr:uid="{00000000-0005-0000-0000-00006A040000}"/>
    <cellStyle name="Normal 18 2" xfId="1128" xr:uid="{00000000-0005-0000-0000-00006B040000}"/>
    <cellStyle name="Normal 18 3" xfId="1129" xr:uid="{00000000-0005-0000-0000-00006C040000}"/>
    <cellStyle name="Normal 18 3 2" xfId="1130" xr:uid="{00000000-0005-0000-0000-00006D040000}"/>
    <cellStyle name="Normal 18 4" xfId="1131" xr:uid="{00000000-0005-0000-0000-00006E040000}"/>
    <cellStyle name="Normal 18 5" xfId="1132" xr:uid="{00000000-0005-0000-0000-00006F040000}"/>
    <cellStyle name="Normal 18 6" xfId="1133" xr:uid="{00000000-0005-0000-0000-000070040000}"/>
    <cellStyle name="Normal 19" xfId="1134" xr:uid="{00000000-0005-0000-0000-000071040000}"/>
    <cellStyle name="Normal 19 2" xfId="1135" xr:uid="{00000000-0005-0000-0000-000072040000}"/>
    <cellStyle name="Normal 19 2 2" xfId="1136" xr:uid="{00000000-0005-0000-0000-000073040000}"/>
    <cellStyle name="Normal 2" xfId="1137" xr:uid="{00000000-0005-0000-0000-000074040000}"/>
    <cellStyle name="Normal 2 10" xfId="1138" xr:uid="{00000000-0005-0000-0000-000075040000}"/>
    <cellStyle name="Normal 2 2" xfId="1139" xr:uid="{00000000-0005-0000-0000-000076040000}"/>
    <cellStyle name="Normal 2 2 2" xfId="1140" xr:uid="{00000000-0005-0000-0000-000077040000}"/>
    <cellStyle name="Normal 2 2 3" xfId="1141" xr:uid="{00000000-0005-0000-0000-000078040000}"/>
    <cellStyle name="Normal 2 2 3 2" xfId="1142" xr:uid="{00000000-0005-0000-0000-000079040000}"/>
    <cellStyle name="Normal 2 2 3 3" xfId="1143" xr:uid="{00000000-0005-0000-0000-00007A040000}"/>
    <cellStyle name="Normal 2 2 3 3 2" xfId="1144" xr:uid="{00000000-0005-0000-0000-00007B040000}"/>
    <cellStyle name="Normal 2 2 4" xfId="1145" xr:uid="{00000000-0005-0000-0000-00007C040000}"/>
    <cellStyle name="Normal 2 2 4 2" xfId="1146" xr:uid="{00000000-0005-0000-0000-00007D040000}"/>
    <cellStyle name="Normal 2 2 5" xfId="1147" xr:uid="{00000000-0005-0000-0000-00007E040000}"/>
    <cellStyle name="Normal 2 2 5 2" xfId="1148" xr:uid="{00000000-0005-0000-0000-00007F040000}"/>
    <cellStyle name="Normal 2 2 5 2 2" xfId="1149" xr:uid="{00000000-0005-0000-0000-000080040000}"/>
    <cellStyle name="Normal 2 2 6" xfId="1150" xr:uid="{00000000-0005-0000-0000-000081040000}"/>
    <cellStyle name="Normal 2 2 6 2" xfId="1151" xr:uid="{00000000-0005-0000-0000-000082040000}"/>
    <cellStyle name="Normal 2 3" xfId="1152" xr:uid="{00000000-0005-0000-0000-000083040000}"/>
    <cellStyle name="Normal 2 3 2" xfId="1153" xr:uid="{00000000-0005-0000-0000-000084040000}"/>
    <cellStyle name="Normal 2 3 2 2" xfId="1154" xr:uid="{00000000-0005-0000-0000-000085040000}"/>
    <cellStyle name="Normal 2 3 2 2 2" xfId="1155" xr:uid="{00000000-0005-0000-0000-000086040000}"/>
    <cellStyle name="Normal 2 3 2 3" xfId="1156" xr:uid="{00000000-0005-0000-0000-000087040000}"/>
    <cellStyle name="Normal 2 3 2 3 2" xfId="1157" xr:uid="{00000000-0005-0000-0000-000088040000}"/>
    <cellStyle name="Normal 2 3 2 4" xfId="1158" xr:uid="{00000000-0005-0000-0000-000089040000}"/>
    <cellStyle name="Normal 2 3 2 4 2" xfId="1159" xr:uid="{00000000-0005-0000-0000-00008A040000}"/>
    <cellStyle name="Normal 2 3 3" xfId="1160" xr:uid="{00000000-0005-0000-0000-00008B040000}"/>
    <cellStyle name="Normal 2 3 3 2" xfId="1161" xr:uid="{00000000-0005-0000-0000-00008C040000}"/>
    <cellStyle name="Normal 2 3 3 2 2" xfId="1162" xr:uid="{00000000-0005-0000-0000-00008D040000}"/>
    <cellStyle name="Normal 2 3 3 3" xfId="1163" xr:uid="{00000000-0005-0000-0000-00008E040000}"/>
    <cellStyle name="Normal 2 3 3 4" xfId="1164" xr:uid="{00000000-0005-0000-0000-00008F040000}"/>
    <cellStyle name="Normal 2 3 4" xfId="1165" xr:uid="{00000000-0005-0000-0000-000090040000}"/>
    <cellStyle name="Normal 2 3 4 2" xfId="1166" xr:uid="{00000000-0005-0000-0000-000091040000}"/>
    <cellStyle name="Normal 2 3 5" xfId="1167" xr:uid="{00000000-0005-0000-0000-000092040000}"/>
    <cellStyle name="Normal 2 3 5 2" xfId="1168" xr:uid="{00000000-0005-0000-0000-000093040000}"/>
    <cellStyle name="Normal 2 3 6" xfId="1169" xr:uid="{00000000-0005-0000-0000-000094040000}"/>
    <cellStyle name="Normal 2 3 6 2" xfId="1170" xr:uid="{00000000-0005-0000-0000-000095040000}"/>
    <cellStyle name="Normal 2 3_Overall" xfId="1171" xr:uid="{00000000-0005-0000-0000-000096040000}"/>
    <cellStyle name="Normal 2 4" xfId="1172" xr:uid="{00000000-0005-0000-0000-000097040000}"/>
    <cellStyle name="Normal 2 4 2" xfId="1173" xr:uid="{00000000-0005-0000-0000-000098040000}"/>
    <cellStyle name="Normal 2 4 2 2" xfId="1174" xr:uid="{00000000-0005-0000-0000-000099040000}"/>
    <cellStyle name="Normal 2 4 2 3" xfId="1175" xr:uid="{00000000-0005-0000-0000-00009A040000}"/>
    <cellStyle name="Normal 2 4 2 3 2" xfId="1176" xr:uid="{00000000-0005-0000-0000-00009B040000}"/>
    <cellStyle name="Normal 2 4 3" xfId="1177" xr:uid="{00000000-0005-0000-0000-00009C040000}"/>
    <cellStyle name="Normal 2 4 3 2" xfId="1178" xr:uid="{00000000-0005-0000-0000-00009D040000}"/>
    <cellStyle name="Normal 2 4 4" xfId="1179" xr:uid="{00000000-0005-0000-0000-00009E040000}"/>
    <cellStyle name="Normal 2 4 4 2" xfId="1180" xr:uid="{00000000-0005-0000-0000-00009F040000}"/>
    <cellStyle name="Normal 2 4 4 2 2" xfId="1181" xr:uid="{00000000-0005-0000-0000-0000A0040000}"/>
    <cellStyle name="Normal 2 4 5" xfId="1182" xr:uid="{00000000-0005-0000-0000-0000A1040000}"/>
    <cellStyle name="Normal 2 4 5 2" xfId="1183" xr:uid="{00000000-0005-0000-0000-0000A2040000}"/>
    <cellStyle name="Normal 2 4 6" xfId="1184" xr:uid="{00000000-0005-0000-0000-0000A3040000}"/>
    <cellStyle name="Normal 2 5" xfId="1185" xr:uid="{00000000-0005-0000-0000-0000A4040000}"/>
    <cellStyle name="Normal 2 5 2" xfId="1186" xr:uid="{00000000-0005-0000-0000-0000A5040000}"/>
    <cellStyle name="Normal 2 5 2 2" xfId="1187" xr:uid="{00000000-0005-0000-0000-0000A6040000}"/>
    <cellStyle name="Normal 2 5 2 3" xfId="1188" xr:uid="{00000000-0005-0000-0000-0000A7040000}"/>
    <cellStyle name="Normal 2 5 3" xfId="1189" xr:uid="{00000000-0005-0000-0000-0000A8040000}"/>
    <cellStyle name="Normal 2 5 3 2" xfId="1190" xr:uid="{00000000-0005-0000-0000-0000A9040000}"/>
    <cellStyle name="Normal 2 5 3 3" xfId="1191" xr:uid="{00000000-0005-0000-0000-0000AA040000}"/>
    <cellStyle name="Normal 2 5 4" xfId="1192" xr:uid="{00000000-0005-0000-0000-0000AB040000}"/>
    <cellStyle name="Normal 2 5 5" xfId="1193" xr:uid="{00000000-0005-0000-0000-0000AC040000}"/>
    <cellStyle name="Normal 2 6" xfId="1194" xr:uid="{00000000-0005-0000-0000-0000AD040000}"/>
    <cellStyle name="Normal 2 6 2" xfId="1195" xr:uid="{00000000-0005-0000-0000-0000AE040000}"/>
    <cellStyle name="Normal 2 6 2 2" xfId="1196" xr:uid="{00000000-0005-0000-0000-0000AF040000}"/>
    <cellStyle name="Normal 2 7" xfId="1197" xr:uid="{00000000-0005-0000-0000-0000B0040000}"/>
    <cellStyle name="Normal 2 8" xfId="1198" xr:uid="{00000000-0005-0000-0000-0000B1040000}"/>
    <cellStyle name="Normal 2 9" xfId="1199" xr:uid="{00000000-0005-0000-0000-0000B2040000}"/>
    <cellStyle name="Normal 2_19" xfId="1200" xr:uid="{00000000-0005-0000-0000-0000B3040000}"/>
    <cellStyle name="Normal 20" xfId="1201" xr:uid="{00000000-0005-0000-0000-0000B5040000}"/>
    <cellStyle name="Normal 20 2" xfId="1202" xr:uid="{00000000-0005-0000-0000-0000B6040000}"/>
    <cellStyle name="Normal 20 2 2" xfId="1203" xr:uid="{00000000-0005-0000-0000-0000B7040000}"/>
    <cellStyle name="Normal 21" xfId="1204" xr:uid="{00000000-0005-0000-0000-0000B8040000}"/>
    <cellStyle name="Normal 21 2" xfId="1205" xr:uid="{00000000-0005-0000-0000-0000B9040000}"/>
    <cellStyle name="Normal 21 2 2" xfId="1206" xr:uid="{00000000-0005-0000-0000-0000BA040000}"/>
    <cellStyle name="Normal 22" xfId="1207" xr:uid="{00000000-0005-0000-0000-0000BB040000}"/>
    <cellStyle name="Normal 22 2" xfId="1208" xr:uid="{00000000-0005-0000-0000-0000BC040000}"/>
    <cellStyle name="Normal 22 2 2" xfId="1209" xr:uid="{00000000-0005-0000-0000-0000BD040000}"/>
    <cellStyle name="Normal 22 2 3" xfId="1210" xr:uid="{00000000-0005-0000-0000-0000BE040000}"/>
    <cellStyle name="Normal 22 2 4" xfId="1211" xr:uid="{00000000-0005-0000-0000-0000BF040000}"/>
    <cellStyle name="Normal 22 3" xfId="1212" xr:uid="{00000000-0005-0000-0000-0000C0040000}"/>
    <cellStyle name="Normal 22 4" xfId="1213" xr:uid="{00000000-0005-0000-0000-0000C1040000}"/>
    <cellStyle name="Normal 22 5" xfId="1214" xr:uid="{00000000-0005-0000-0000-0000C2040000}"/>
    <cellStyle name="Normal 23" xfId="1215" xr:uid="{00000000-0005-0000-0000-0000C3040000}"/>
    <cellStyle name="Normal 23 2" xfId="1216" xr:uid="{00000000-0005-0000-0000-0000C4040000}"/>
    <cellStyle name="Normal 23 2 2" xfId="1217" xr:uid="{00000000-0005-0000-0000-0000C5040000}"/>
    <cellStyle name="Normal 23 3" xfId="1218" xr:uid="{00000000-0005-0000-0000-0000C6040000}"/>
    <cellStyle name="Normal 23 4" xfId="1219" xr:uid="{00000000-0005-0000-0000-0000C7040000}"/>
    <cellStyle name="Normal 23 5" xfId="1220" xr:uid="{00000000-0005-0000-0000-0000C8040000}"/>
    <cellStyle name="Normal 24" xfId="1221" xr:uid="{00000000-0005-0000-0000-0000C9040000}"/>
    <cellStyle name="Normal 24 2" xfId="1222" xr:uid="{00000000-0005-0000-0000-0000CA040000}"/>
    <cellStyle name="Normal 24 2 2" xfId="1223" xr:uid="{00000000-0005-0000-0000-0000CB040000}"/>
    <cellStyle name="Normal 24 2 3" xfId="1224" xr:uid="{00000000-0005-0000-0000-0000CC040000}"/>
    <cellStyle name="Normal 24 3" xfId="1225" xr:uid="{00000000-0005-0000-0000-0000CD040000}"/>
    <cellStyle name="Normal 24 4" xfId="1226" xr:uid="{00000000-0005-0000-0000-0000CE040000}"/>
    <cellStyle name="Normal 24 5" xfId="1227" xr:uid="{00000000-0005-0000-0000-0000CF040000}"/>
    <cellStyle name="Normal 25" xfId="1228" xr:uid="{00000000-0005-0000-0000-0000D0040000}"/>
    <cellStyle name="Normal 25 2" xfId="1229" xr:uid="{00000000-0005-0000-0000-0000D1040000}"/>
    <cellStyle name="Normal 25 2 2" xfId="1230" xr:uid="{00000000-0005-0000-0000-0000D2040000}"/>
    <cellStyle name="Normal 25 2 3" xfId="1231" xr:uid="{00000000-0005-0000-0000-0000D3040000}"/>
    <cellStyle name="Normal 25 3" xfId="1232" xr:uid="{00000000-0005-0000-0000-0000D4040000}"/>
    <cellStyle name="Normal 25 4" xfId="1233" xr:uid="{00000000-0005-0000-0000-0000D5040000}"/>
    <cellStyle name="Normal 25 5" xfId="1234" xr:uid="{00000000-0005-0000-0000-0000D6040000}"/>
    <cellStyle name="Normal 26" xfId="1235" xr:uid="{00000000-0005-0000-0000-0000D7040000}"/>
    <cellStyle name="Normal 26 2" xfId="1236" xr:uid="{00000000-0005-0000-0000-0000D8040000}"/>
    <cellStyle name="Normal 26 2 2" xfId="1237" xr:uid="{00000000-0005-0000-0000-0000D9040000}"/>
    <cellStyle name="Normal 26 2 3" xfId="1238" xr:uid="{00000000-0005-0000-0000-0000DA040000}"/>
    <cellStyle name="Normal 26 3" xfId="1239" xr:uid="{00000000-0005-0000-0000-0000DB040000}"/>
    <cellStyle name="Normal 26 4" xfId="1240" xr:uid="{00000000-0005-0000-0000-0000DC040000}"/>
    <cellStyle name="Normal 26 5" xfId="1241" xr:uid="{00000000-0005-0000-0000-0000DD040000}"/>
    <cellStyle name="Normal 27" xfId="1242" xr:uid="{00000000-0005-0000-0000-0000DE040000}"/>
    <cellStyle name="Normal 27 2" xfId="1243" xr:uid="{00000000-0005-0000-0000-0000DF040000}"/>
    <cellStyle name="Normal 27 2 2" xfId="1244" xr:uid="{00000000-0005-0000-0000-0000E0040000}"/>
    <cellStyle name="Normal 27 2 3" xfId="1245" xr:uid="{00000000-0005-0000-0000-0000E1040000}"/>
    <cellStyle name="Normal 27 3" xfId="1246" xr:uid="{00000000-0005-0000-0000-0000E2040000}"/>
    <cellStyle name="Normal 27 4" xfId="1247" xr:uid="{00000000-0005-0000-0000-0000E3040000}"/>
    <cellStyle name="Normal 28" xfId="1248" xr:uid="{00000000-0005-0000-0000-0000E4040000}"/>
    <cellStyle name="Normal 28 2" xfId="1249" xr:uid="{00000000-0005-0000-0000-0000E5040000}"/>
    <cellStyle name="Normal 28 2 2" xfId="1250" xr:uid="{00000000-0005-0000-0000-0000E6040000}"/>
    <cellStyle name="Normal 28 2 3" xfId="1251" xr:uid="{00000000-0005-0000-0000-0000E7040000}"/>
    <cellStyle name="Normal 28 3" xfId="1252" xr:uid="{00000000-0005-0000-0000-0000E8040000}"/>
    <cellStyle name="Normal 28 4" xfId="1253" xr:uid="{00000000-0005-0000-0000-0000E9040000}"/>
    <cellStyle name="Normal 29" xfId="1254" xr:uid="{00000000-0005-0000-0000-0000EA040000}"/>
    <cellStyle name="Normal 29 2" xfId="1255" xr:uid="{00000000-0005-0000-0000-0000EB040000}"/>
    <cellStyle name="Normal 29 3" xfId="1256" xr:uid="{00000000-0005-0000-0000-0000EC040000}"/>
    <cellStyle name="Normal 29 4" xfId="1257" xr:uid="{00000000-0005-0000-0000-0000ED040000}"/>
    <cellStyle name="Normal 3" xfId="1258" xr:uid="{00000000-0005-0000-0000-0000EE040000}"/>
    <cellStyle name="Normal 3 2" xfId="1259" xr:uid="{00000000-0005-0000-0000-0000EF040000}"/>
    <cellStyle name="Normal 3 2 10" xfId="1260" xr:uid="{00000000-0005-0000-0000-0000F0040000}"/>
    <cellStyle name="Normal 3 2 11" xfId="1261" xr:uid="{00000000-0005-0000-0000-0000F1040000}"/>
    <cellStyle name="Normal 3 2 2" xfId="1262" xr:uid="{00000000-0005-0000-0000-0000F2040000}"/>
    <cellStyle name="Normal 3 2 2 2" xfId="1263" xr:uid="{00000000-0005-0000-0000-0000F3040000}"/>
    <cellStyle name="Normal 3 2 2 2 2" xfId="1264" xr:uid="{00000000-0005-0000-0000-0000F4040000}"/>
    <cellStyle name="Normal 3 2 2 2_Overall" xfId="1265" xr:uid="{00000000-0005-0000-0000-0000F5040000}"/>
    <cellStyle name="Normal 3 2 3" xfId="1266" xr:uid="{00000000-0005-0000-0000-0000F6040000}"/>
    <cellStyle name="Normal 3 2 3 2" xfId="1267" xr:uid="{00000000-0005-0000-0000-0000F7040000}"/>
    <cellStyle name="Normal 3 2 3 3" xfId="1268" xr:uid="{00000000-0005-0000-0000-0000F8040000}"/>
    <cellStyle name="Normal 3 2 4" xfId="1269" xr:uid="{00000000-0005-0000-0000-0000F9040000}"/>
    <cellStyle name="Normal 3 2 4 2" xfId="1270" xr:uid="{00000000-0005-0000-0000-0000FA040000}"/>
    <cellStyle name="Normal 3 2 4 3" xfId="1271" xr:uid="{00000000-0005-0000-0000-0000FB040000}"/>
    <cellStyle name="Normal 3 2 5" xfId="1272" xr:uid="{00000000-0005-0000-0000-0000FC040000}"/>
    <cellStyle name="Normal 3 2 6" xfId="1273" xr:uid="{00000000-0005-0000-0000-0000FD040000}"/>
    <cellStyle name="Normal 3 2 7" xfId="1274" xr:uid="{00000000-0005-0000-0000-0000FE040000}"/>
    <cellStyle name="Normal 3 2 8" xfId="1275" xr:uid="{00000000-0005-0000-0000-0000FF040000}"/>
    <cellStyle name="Normal 3 2 9" xfId="1276" xr:uid="{00000000-0005-0000-0000-000000050000}"/>
    <cellStyle name="Normal 3 3" xfId="1277" xr:uid="{00000000-0005-0000-0000-000001050000}"/>
    <cellStyle name="Normal 3 3 2" xfId="1278" xr:uid="{00000000-0005-0000-0000-000002050000}"/>
    <cellStyle name="Normal 3 3 2 2" xfId="1279" xr:uid="{00000000-0005-0000-0000-000003050000}"/>
    <cellStyle name="Normal 3 3 2 2 2" xfId="1280" xr:uid="{00000000-0005-0000-0000-000004050000}"/>
    <cellStyle name="Normal 3 3 2 2 2 2" xfId="1281" xr:uid="{00000000-0005-0000-0000-000005050000}"/>
    <cellStyle name="Normal 3 3 2 2 2 3" xfId="1282" xr:uid="{00000000-0005-0000-0000-000006050000}"/>
    <cellStyle name="Normal 3 3 2 2 3" xfId="1283" xr:uid="{00000000-0005-0000-0000-000007050000}"/>
    <cellStyle name="Normal 3 3 2 2 4" xfId="1284" xr:uid="{00000000-0005-0000-0000-000008050000}"/>
    <cellStyle name="Normal 3 3 2 3" xfId="1285" xr:uid="{00000000-0005-0000-0000-000009050000}"/>
    <cellStyle name="Normal 3 3 2 4" xfId="1286" xr:uid="{00000000-0005-0000-0000-00000A050000}"/>
    <cellStyle name="Normal 3 3 3" xfId="1287" xr:uid="{00000000-0005-0000-0000-00000B050000}"/>
    <cellStyle name="Normal 3 3 3 2" xfId="1288" xr:uid="{00000000-0005-0000-0000-00000C050000}"/>
    <cellStyle name="Normal 3 3 3 3" xfId="1289" xr:uid="{00000000-0005-0000-0000-00000D050000}"/>
    <cellStyle name="Normal 3 3 4" xfId="1290" xr:uid="{00000000-0005-0000-0000-00000E050000}"/>
    <cellStyle name="Normal 3 3 4 2" xfId="1291" xr:uid="{00000000-0005-0000-0000-00000F050000}"/>
    <cellStyle name="Normal 3 3 4 3" xfId="1292" xr:uid="{00000000-0005-0000-0000-000010050000}"/>
    <cellStyle name="Normal 3 3 5" xfId="1293" xr:uid="{00000000-0005-0000-0000-000011050000}"/>
    <cellStyle name="Normal 3 3 6" xfId="1294" xr:uid="{00000000-0005-0000-0000-000012050000}"/>
    <cellStyle name="Normal 3 3 6 2" xfId="1295" xr:uid="{00000000-0005-0000-0000-000013050000}"/>
    <cellStyle name="Normal 3 3 6 2 2" xfId="1296" xr:uid="{00000000-0005-0000-0000-000014050000}"/>
    <cellStyle name="Normal 3 3 6 2 3" xfId="1297" xr:uid="{00000000-0005-0000-0000-000015050000}"/>
    <cellStyle name="Normal 3 4" xfId="1298" xr:uid="{00000000-0005-0000-0000-000016050000}"/>
    <cellStyle name="Normal 3 4 2" xfId="1299" xr:uid="{00000000-0005-0000-0000-000017050000}"/>
    <cellStyle name="Normal 3 5" xfId="1300" xr:uid="{00000000-0005-0000-0000-000018050000}"/>
    <cellStyle name="Normal 3_Check Valve (Swing type) Data Sheet" xfId="1301" xr:uid="{00000000-0005-0000-0000-000019050000}"/>
    <cellStyle name="Normal 30" xfId="1302" xr:uid="{00000000-0005-0000-0000-00001A050000}"/>
    <cellStyle name="Normal 30 2" xfId="1303" xr:uid="{00000000-0005-0000-0000-00001B050000}"/>
    <cellStyle name="Normal 30 3" xfId="1304" xr:uid="{00000000-0005-0000-0000-00001C050000}"/>
    <cellStyle name="Normal 30 4" xfId="1305" xr:uid="{00000000-0005-0000-0000-00001D050000}"/>
    <cellStyle name="Normal 31" xfId="1306" xr:uid="{00000000-0005-0000-0000-00001E050000}"/>
    <cellStyle name="Normal 31 2" xfId="1307" xr:uid="{00000000-0005-0000-0000-00001F050000}"/>
    <cellStyle name="Normal 31 3" xfId="1308" xr:uid="{00000000-0005-0000-0000-000020050000}"/>
    <cellStyle name="Normal 32" xfId="1309" xr:uid="{00000000-0005-0000-0000-000021050000}"/>
    <cellStyle name="Normal 32 2" xfId="1310" xr:uid="{00000000-0005-0000-0000-000022050000}"/>
    <cellStyle name="Normal 32 3" xfId="1311" xr:uid="{00000000-0005-0000-0000-000023050000}"/>
    <cellStyle name="Normal 33" xfId="1312" xr:uid="{00000000-0005-0000-0000-000024050000}"/>
    <cellStyle name="Normal 33 2" xfId="1313" xr:uid="{00000000-0005-0000-0000-000025050000}"/>
    <cellStyle name="Normal 33 3" xfId="1314" xr:uid="{00000000-0005-0000-0000-000026050000}"/>
    <cellStyle name="Normal 34" xfId="1315" xr:uid="{00000000-0005-0000-0000-000027050000}"/>
    <cellStyle name="Normal 34 2" xfId="1316" xr:uid="{00000000-0005-0000-0000-000028050000}"/>
    <cellStyle name="Normal 34 3" xfId="1317" xr:uid="{00000000-0005-0000-0000-000029050000}"/>
    <cellStyle name="Normal 35" xfId="1318" xr:uid="{00000000-0005-0000-0000-00002A050000}"/>
    <cellStyle name="Normal 35 2" xfId="1319" xr:uid="{00000000-0005-0000-0000-00002B050000}"/>
    <cellStyle name="Normal 35 3" xfId="1320" xr:uid="{00000000-0005-0000-0000-00002C050000}"/>
    <cellStyle name="Normal 36" xfId="1321" xr:uid="{00000000-0005-0000-0000-00002D050000}"/>
    <cellStyle name="Normal 36 2" xfId="1322" xr:uid="{00000000-0005-0000-0000-00002E050000}"/>
    <cellStyle name="Normal 36 3" xfId="1323" xr:uid="{00000000-0005-0000-0000-00002F050000}"/>
    <cellStyle name="Normal 36 4" xfId="1324" xr:uid="{00000000-0005-0000-0000-000030050000}"/>
    <cellStyle name="Normal 37" xfId="1325" xr:uid="{00000000-0005-0000-0000-000031050000}"/>
    <cellStyle name="Normal 38" xfId="1326" xr:uid="{00000000-0005-0000-0000-000032050000}"/>
    <cellStyle name="Normal 39" xfId="1327" xr:uid="{00000000-0005-0000-0000-000033050000}"/>
    <cellStyle name="Normal 4" xfId="1328" xr:uid="{00000000-0005-0000-0000-000034050000}"/>
    <cellStyle name="Normal 4 2" xfId="1329" xr:uid="{00000000-0005-0000-0000-000035050000}"/>
    <cellStyle name="Normal 4 2 2" xfId="1330" xr:uid="{00000000-0005-0000-0000-000036050000}"/>
    <cellStyle name="Normal 4 2 2 2" xfId="1331" xr:uid="{00000000-0005-0000-0000-000037050000}"/>
    <cellStyle name="Normal 4 2 3" xfId="1332" xr:uid="{00000000-0005-0000-0000-000038050000}"/>
    <cellStyle name="Normal 4 2 3 2" xfId="1333" xr:uid="{00000000-0005-0000-0000-000039050000}"/>
    <cellStyle name="Normal 4 2 3 2 2" xfId="1334" xr:uid="{00000000-0005-0000-0000-00003A050000}"/>
    <cellStyle name="Normal 4 2 3 3" xfId="1335" xr:uid="{00000000-0005-0000-0000-00003B050000}"/>
    <cellStyle name="Normal 4 2 3 3 2" xfId="1336" xr:uid="{00000000-0005-0000-0000-00003C050000}"/>
    <cellStyle name="Normal 4 2 3 4" xfId="1337" xr:uid="{00000000-0005-0000-0000-00003D050000}"/>
    <cellStyle name="Normal 4 2 4" xfId="1338" xr:uid="{00000000-0005-0000-0000-00003E050000}"/>
    <cellStyle name="Normal 4 2 4 2" xfId="1339" xr:uid="{00000000-0005-0000-0000-00003F050000}"/>
    <cellStyle name="Normal 4 2 5" xfId="1340" xr:uid="{00000000-0005-0000-0000-000040050000}"/>
    <cellStyle name="Normal 4 2 5 2" xfId="1341" xr:uid="{00000000-0005-0000-0000-000041050000}"/>
    <cellStyle name="Normal 4 3" xfId="1342" xr:uid="{00000000-0005-0000-0000-000042050000}"/>
    <cellStyle name="Normal 4 3 2" xfId="1343" xr:uid="{00000000-0005-0000-0000-000043050000}"/>
    <cellStyle name="Normal 4 3 2 2" xfId="1344" xr:uid="{00000000-0005-0000-0000-000044050000}"/>
    <cellStyle name="Normal 4 3 3" xfId="1345" xr:uid="{00000000-0005-0000-0000-000045050000}"/>
    <cellStyle name="Normal 4 3 3 2" xfId="1346" xr:uid="{00000000-0005-0000-0000-000046050000}"/>
    <cellStyle name="Normal 4 3 4" xfId="1347" xr:uid="{00000000-0005-0000-0000-000047050000}"/>
    <cellStyle name="Normal 4 3 5" xfId="1348" xr:uid="{00000000-0005-0000-0000-000048050000}"/>
    <cellStyle name="Normal 4 3 6" xfId="1349" xr:uid="{00000000-0005-0000-0000-000049050000}"/>
    <cellStyle name="Normal 4 4" xfId="1350" xr:uid="{00000000-0005-0000-0000-00004A050000}"/>
    <cellStyle name="Normal 4 4 2" xfId="1351" xr:uid="{00000000-0005-0000-0000-00004B050000}"/>
    <cellStyle name="Normal 4 4 3" xfId="1352" xr:uid="{00000000-0005-0000-0000-00004C050000}"/>
    <cellStyle name="Normal 4 5" xfId="1353" xr:uid="{00000000-0005-0000-0000-00004D050000}"/>
    <cellStyle name="Normal 4 5 2" xfId="1354" xr:uid="{00000000-0005-0000-0000-00004E050000}"/>
    <cellStyle name="Normal 4 5 3" xfId="1355" xr:uid="{00000000-0005-0000-0000-00004F050000}"/>
    <cellStyle name="Normal 4 6" xfId="1356" xr:uid="{00000000-0005-0000-0000-000050050000}"/>
    <cellStyle name="Normal 40" xfId="1357" xr:uid="{00000000-0005-0000-0000-000051050000}"/>
    <cellStyle name="Normal 41" xfId="1358" xr:uid="{00000000-0005-0000-0000-000052050000}"/>
    <cellStyle name="Normal 42" xfId="1359" xr:uid="{00000000-0005-0000-0000-000053050000}"/>
    <cellStyle name="Normal 43" xfId="1360" xr:uid="{00000000-0005-0000-0000-000054050000}"/>
    <cellStyle name="Normal 44" xfId="1361" xr:uid="{00000000-0005-0000-0000-000055050000}"/>
    <cellStyle name="Normal 45" xfId="1362" xr:uid="{00000000-0005-0000-0000-000056050000}"/>
    <cellStyle name="Normal 46" xfId="1363" xr:uid="{00000000-0005-0000-0000-000057050000}"/>
    <cellStyle name="Normal 47" xfId="1364" xr:uid="{00000000-0005-0000-0000-000058050000}"/>
    <cellStyle name="Normal 48" xfId="1365" xr:uid="{00000000-0005-0000-0000-000059050000}"/>
    <cellStyle name="Normal 49" xfId="1366" xr:uid="{00000000-0005-0000-0000-00005A050000}"/>
    <cellStyle name="Normal 5" xfId="1367" xr:uid="{00000000-0005-0000-0000-00005B050000}"/>
    <cellStyle name="Normal 5 2" xfId="1368" xr:uid="{00000000-0005-0000-0000-00005C050000}"/>
    <cellStyle name="Normal 5 2 2" xfId="1369" xr:uid="{00000000-0005-0000-0000-00005D050000}"/>
    <cellStyle name="Normal 5 2 2 2" xfId="1370" xr:uid="{00000000-0005-0000-0000-00005E050000}"/>
    <cellStyle name="Normal 5 2 2 3" xfId="1371" xr:uid="{00000000-0005-0000-0000-00005F050000}"/>
    <cellStyle name="Normal 5 2 3" xfId="1372" xr:uid="{00000000-0005-0000-0000-000060050000}"/>
    <cellStyle name="Normal 5 2 3 2" xfId="1373" xr:uid="{00000000-0005-0000-0000-000061050000}"/>
    <cellStyle name="Normal 5 2 4" xfId="1374" xr:uid="{00000000-0005-0000-0000-000062050000}"/>
    <cellStyle name="Normal 5 2 5" xfId="1375" xr:uid="{00000000-0005-0000-0000-000063050000}"/>
    <cellStyle name="Normal 5 2 6" xfId="1376" xr:uid="{00000000-0005-0000-0000-000064050000}"/>
    <cellStyle name="Normal 5 2 7" xfId="1377" xr:uid="{00000000-0005-0000-0000-000065050000}"/>
    <cellStyle name="Normal 5 3" xfId="1378" xr:uid="{00000000-0005-0000-0000-000066050000}"/>
    <cellStyle name="Normal 5 3 2" xfId="1379" xr:uid="{00000000-0005-0000-0000-000067050000}"/>
    <cellStyle name="Normal 5 3 2 2" xfId="1380" xr:uid="{00000000-0005-0000-0000-000068050000}"/>
    <cellStyle name="Normal 5 3 3" xfId="1381" xr:uid="{00000000-0005-0000-0000-000069050000}"/>
    <cellStyle name="Normal 5 4" xfId="1382" xr:uid="{00000000-0005-0000-0000-00006A050000}"/>
    <cellStyle name="Normal 5 4 2" xfId="1383" xr:uid="{00000000-0005-0000-0000-00006B050000}"/>
    <cellStyle name="Normal 50" xfId="1384" xr:uid="{00000000-0005-0000-0000-00006C050000}"/>
    <cellStyle name="Normal 50 2" xfId="1385" xr:uid="{00000000-0005-0000-0000-00006D050000}"/>
    <cellStyle name="Normal 50 3" xfId="1386" xr:uid="{00000000-0005-0000-0000-00006E050000}"/>
    <cellStyle name="Normal 50 4" xfId="1387" xr:uid="{00000000-0005-0000-0000-00006F050000}"/>
    <cellStyle name="Normal 51" xfId="1388" xr:uid="{00000000-0005-0000-0000-000070050000}"/>
    <cellStyle name="Normal 51 2" xfId="1389" xr:uid="{00000000-0005-0000-0000-000071050000}"/>
    <cellStyle name="Normal 51 3" xfId="1390" xr:uid="{00000000-0005-0000-0000-000072050000}"/>
    <cellStyle name="Normal 51 4" xfId="1391" xr:uid="{00000000-0005-0000-0000-000073050000}"/>
    <cellStyle name="Normal 52" xfId="1392" xr:uid="{00000000-0005-0000-0000-000074050000}"/>
    <cellStyle name="Normal 52 2" xfId="1393" xr:uid="{00000000-0005-0000-0000-000075050000}"/>
    <cellStyle name="Normal 52 3" xfId="1394" xr:uid="{00000000-0005-0000-0000-000076050000}"/>
    <cellStyle name="Normal 52 4" xfId="1395" xr:uid="{00000000-0005-0000-0000-000077050000}"/>
    <cellStyle name="Normal 53" xfId="1396" xr:uid="{00000000-0005-0000-0000-000078050000}"/>
    <cellStyle name="Normal 53 2" xfId="1397" xr:uid="{00000000-0005-0000-0000-000079050000}"/>
    <cellStyle name="Normal 53 3" xfId="1398" xr:uid="{00000000-0005-0000-0000-00007A050000}"/>
    <cellStyle name="Normal 53 4" xfId="1399" xr:uid="{00000000-0005-0000-0000-00007B050000}"/>
    <cellStyle name="Normal 54" xfId="1400" xr:uid="{00000000-0005-0000-0000-00007C050000}"/>
    <cellStyle name="Normal 54 2" xfId="1401" xr:uid="{00000000-0005-0000-0000-00007D050000}"/>
    <cellStyle name="Normal 54 3" xfId="1402" xr:uid="{00000000-0005-0000-0000-00007E050000}"/>
    <cellStyle name="Normal 54 4" xfId="1403" xr:uid="{00000000-0005-0000-0000-00007F050000}"/>
    <cellStyle name="Normal 55" xfId="1404" xr:uid="{00000000-0005-0000-0000-000080050000}"/>
    <cellStyle name="Normal 55 2" xfId="1405" xr:uid="{00000000-0005-0000-0000-000081050000}"/>
    <cellStyle name="Normal 55 3" xfId="1406" xr:uid="{00000000-0005-0000-0000-000082050000}"/>
    <cellStyle name="Normal 55 4" xfId="1407" xr:uid="{00000000-0005-0000-0000-000083050000}"/>
    <cellStyle name="Normal 56" xfId="1408" xr:uid="{00000000-0005-0000-0000-000084050000}"/>
    <cellStyle name="Normal 56 2" xfId="1409" xr:uid="{00000000-0005-0000-0000-000085050000}"/>
    <cellStyle name="Normal 56 3" xfId="1410" xr:uid="{00000000-0005-0000-0000-000086050000}"/>
    <cellStyle name="Normal 56 4" xfId="1411" xr:uid="{00000000-0005-0000-0000-000087050000}"/>
    <cellStyle name="Normal 57" xfId="1412" xr:uid="{00000000-0005-0000-0000-000088050000}"/>
    <cellStyle name="Normal 57 2" xfId="1413" xr:uid="{00000000-0005-0000-0000-000089050000}"/>
    <cellStyle name="Normal 57 3" xfId="1414" xr:uid="{00000000-0005-0000-0000-00008A050000}"/>
    <cellStyle name="Normal 57 4" xfId="1415" xr:uid="{00000000-0005-0000-0000-00008B050000}"/>
    <cellStyle name="Normal 58" xfId="1416" xr:uid="{00000000-0005-0000-0000-00008C050000}"/>
    <cellStyle name="Normal 58 2" xfId="1417" xr:uid="{00000000-0005-0000-0000-00008D050000}"/>
    <cellStyle name="Normal 58 3" xfId="1418" xr:uid="{00000000-0005-0000-0000-00008E050000}"/>
    <cellStyle name="Normal 58 4" xfId="1419" xr:uid="{00000000-0005-0000-0000-00008F050000}"/>
    <cellStyle name="Normal 59" xfId="1420" xr:uid="{00000000-0005-0000-0000-000090050000}"/>
    <cellStyle name="Normal 59 2" xfId="1421" xr:uid="{00000000-0005-0000-0000-000091050000}"/>
    <cellStyle name="Normal 59 3" xfId="1422" xr:uid="{00000000-0005-0000-0000-000092050000}"/>
    <cellStyle name="Normal 59 4" xfId="1423" xr:uid="{00000000-0005-0000-0000-000093050000}"/>
    <cellStyle name="Normal 6" xfId="1424" xr:uid="{00000000-0005-0000-0000-000094050000}"/>
    <cellStyle name="Normal 6 2" xfId="1425" xr:uid="{00000000-0005-0000-0000-000095050000}"/>
    <cellStyle name="Normal 6 2 2" xfId="1426" xr:uid="{00000000-0005-0000-0000-000096050000}"/>
    <cellStyle name="Normal 6 2 2 2" xfId="1427" xr:uid="{00000000-0005-0000-0000-000097050000}"/>
    <cellStyle name="Normal 6 2 3" xfId="1428" xr:uid="{00000000-0005-0000-0000-000098050000}"/>
    <cellStyle name="Normal 6 2 3 2" xfId="1429" xr:uid="{00000000-0005-0000-0000-000099050000}"/>
    <cellStyle name="Normal 6 2 4" xfId="1430" xr:uid="{00000000-0005-0000-0000-00009A050000}"/>
    <cellStyle name="Normal 6 2 5" xfId="1431" xr:uid="{00000000-0005-0000-0000-00009B050000}"/>
    <cellStyle name="Normal 6 2 5 2" xfId="1432" xr:uid="{00000000-0005-0000-0000-00009C050000}"/>
    <cellStyle name="Normal 6 3" xfId="1433" xr:uid="{00000000-0005-0000-0000-00009D050000}"/>
    <cellStyle name="Normal 6 3 2" xfId="1434" xr:uid="{00000000-0005-0000-0000-00009E050000}"/>
    <cellStyle name="Normal 6 4" xfId="1435" xr:uid="{00000000-0005-0000-0000-00009F050000}"/>
    <cellStyle name="Normal 60" xfId="1436" xr:uid="{00000000-0005-0000-0000-0000A0050000}"/>
    <cellStyle name="Normal 60 2" xfId="1437" xr:uid="{00000000-0005-0000-0000-0000A1050000}"/>
    <cellStyle name="Normal 60 3" xfId="1438" xr:uid="{00000000-0005-0000-0000-0000A2050000}"/>
    <cellStyle name="Normal 60 4" xfId="1439" xr:uid="{00000000-0005-0000-0000-0000A3050000}"/>
    <cellStyle name="Normal 61" xfId="1440" xr:uid="{00000000-0005-0000-0000-0000A4050000}"/>
    <cellStyle name="Normal 61 2" xfId="1441" xr:uid="{00000000-0005-0000-0000-0000A5050000}"/>
    <cellStyle name="Normal 61 3" xfId="1442" xr:uid="{00000000-0005-0000-0000-0000A6050000}"/>
    <cellStyle name="Normal 61 4" xfId="1443" xr:uid="{00000000-0005-0000-0000-0000A7050000}"/>
    <cellStyle name="Normal 62" xfId="1444" xr:uid="{00000000-0005-0000-0000-0000A8050000}"/>
    <cellStyle name="Normal 63" xfId="1445" xr:uid="{00000000-0005-0000-0000-0000A9050000}"/>
    <cellStyle name="Normal 64" xfId="1446" xr:uid="{00000000-0005-0000-0000-0000AA050000}"/>
    <cellStyle name="Normal 65" xfId="1447" xr:uid="{00000000-0005-0000-0000-0000AB050000}"/>
    <cellStyle name="Normal 66" xfId="1448" xr:uid="{00000000-0005-0000-0000-0000AC050000}"/>
    <cellStyle name="Normal 67" xfId="1449" xr:uid="{00000000-0005-0000-0000-0000AD050000}"/>
    <cellStyle name="Normal 68" xfId="1450" xr:uid="{00000000-0005-0000-0000-0000AE050000}"/>
    <cellStyle name="Normal 69" xfId="1451" xr:uid="{00000000-0005-0000-0000-0000AF050000}"/>
    <cellStyle name="Normal 7" xfId="1452" xr:uid="{00000000-0005-0000-0000-0000B0050000}"/>
    <cellStyle name="Normal 7 2" xfId="1453" xr:uid="{00000000-0005-0000-0000-0000B1050000}"/>
    <cellStyle name="Normal 7 2 2" xfId="1454" xr:uid="{00000000-0005-0000-0000-0000B2050000}"/>
    <cellStyle name="Normal 7 3" xfId="1455" xr:uid="{00000000-0005-0000-0000-0000B3050000}"/>
    <cellStyle name="Normal 7 3 2" xfId="1456" xr:uid="{00000000-0005-0000-0000-0000B4050000}"/>
    <cellStyle name="Normal 7 4" xfId="1457" xr:uid="{00000000-0005-0000-0000-0000B5050000}"/>
    <cellStyle name="Normal 7 5" xfId="1458" xr:uid="{00000000-0005-0000-0000-0000B6050000}"/>
    <cellStyle name="Normal 7 6" xfId="1459" xr:uid="{00000000-0005-0000-0000-0000B7050000}"/>
    <cellStyle name="Normal 70" xfId="1460" xr:uid="{00000000-0005-0000-0000-0000B8050000}"/>
    <cellStyle name="Normal 71" xfId="1461" xr:uid="{00000000-0005-0000-0000-0000B9050000}"/>
    <cellStyle name="Normal 72" xfId="1462" xr:uid="{00000000-0005-0000-0000-0000BA050000}"/>
    <cellStyle name="Normal 73" xfId="1463" xr:uid="{00000000-0005-0000-0000-0000BB050000}"/>
    <cellStyle name="Normal 74" xfId="1464" xr:uid="{00000000-0005-0000-0000-0000BC050000}"/>
    <cellStyle name="Normal 74 14" xfId="1465" xr:uid="{00000000-0005-0000-0000-0000BD050000}"/>
    <cellStyle name="Normal 75" xfId="1466" xr:uid="{00000000-0005-0000-0000-0000BE050000}"/>
    <cellStyle name="Normal 76" xfId="1467" xr:uid="{00000000-0005-0000-0000-0000BF050000}"/>
    <cellStyle name="Normal 77" xfId="1468" xr:uid="{00000000-0005-0000-0000-0000C0050000}"/>
    <cellStyle name="Normal 78" xfId="1469" xr:uid="{00000000-0005-0000-0000-0000C1050000}"/>
    <cellStyle name="Normal 79" xfId="1470" xr:uid="{00000000-0005-0000-0000-0000C2050000}"/>
    <cellStyle name="Normal 8" xfId="1471" xr:uid="{00000000-0005-0000-0000-0000C3050000}"/>
    <cellStyle name="Normal 8 2" xfId="1472" xr:uid="{00000000-0005-0000-0000-0000C4050000}"/>
    <cellStyle name="Normal 8 2 2" xfId="1473" xr:uid="{00000000-0005-0000-0000-0000C5050000}"/>
    <cellStyle name="Normal 8 3" xfId="1474" xr:uid="{00000000-0005-0000-0000-0000C6050000}"/>
    <cellStyle name="Normal 8 4" xfId="1475" xr:uid="{00000000-0005-0000-0000-0000C7050000}"/>
    <cellStyle name="Normal 8 5" xfId="1476" xr:uid="{00000000-0005-0000-0000-0000C8050000}"/>
    <cellStyle name="Normal 8 5 2" xfId="1477" xr:uid="{00000000-0005-0000-0000-0000C9050000}"/>
    <cellStyle name="Normal 8 6" xfId="1478" xr:uid="{00000000-0005-0000-0000-0000CA050000}"/>
    <cellStyle name="Normal 8 7" xfId="1479" xr:uid="{00000000-0005-0000-0000-0000CB050000}"/>
    <cellStyle name="Normal 80" xfId="1480" xr:uid="{00000000-0005-0000-0000-0000CC050000}"/>
    <cellStyle name="Normal 81" xfId="1481" xr:uid="{00000000-0005-0000-0000-0000CD050000}"/>
    <cellStyle name="Normal 82" xfId="1482" xr:uid="{00000000-0005-0000-0000-0000CE050000}"/>
    <cellStyle name="Normal 83" xfId="1483" xr:uid="{00000000-0005-0000-0000-0000CF050000}"/>
    <cellStyle name="Normal 84" xfId="1484" xr:uid="{00000000-0005-0000-0000-0000D0050000}"/>
    <cellStyle name="Normal 85" xfId="1485" xr:uid="{00000000-0005-0000-0000-0000D1050000}"/>
    <cellStyle name="Normal 86" xfId="1486" xr:uid="{00000000-0005-0000-0000-0000D2050000}"/>
    <cellStyle name="Normal 87" xfId="1487" xr:uid="{00000000-0005-0000-0000-0000D3050000}"/>
    <cellStyle name="Normal 88" xfId="1488" xr:uid="{00000000-0005-0000-0000-0000D4050000}"/>
    <cellStyle name="Normal 89" xfId="1489" xr:uid="{00000000-0005-0000-0000-0000D5050000}"/>
    <cellStyle name="Normal 9" xfId="1490" xr:uid="{00000000-0005-0000-0000-0000D6050000}"/>
    <cellStyle name="Normal 9 2" xfId="1491" xr:uid="{00000000-0005-0000-0000-0000D7050000}"/>
    <cellStyle name="Normal 9 2 2" xfId="1492" xr:uid="{00000000-0005-0000-0000-0000D8050000}"/>
    <cellStyle name="Normal 9 2 2 2" xfId="1493" xr:uid="{00000000-0005-0000-0000-0000D9050000}"/>
    <cellStyle name="Normal 9 2 3" xfId="1494" xr:uid="{00000000-0005-0000-0000-0000DA050000}"/>
    <cellStyle name="Normal 9 2 3 2" xfId="1495" xr:uid="{00000000-0005-0000-0000-0000DB050000}"/>
    <cellStyle name="Normal 9 2 4" xfId="1496" xr:uid="{00000000-0005-0000-0000-0000DC050000}"/>
    <cellStyle name="Normal 9 2 5" xfId="1497" xr:uid="{00000000-0005-0000-0000-0000DD050000}"/>
    <cellStyle name="Normal 9 3" xfId="1498" xr:uid="{00000000-0005-0000-0000-0000DE050000}"/>
    <cellStyle name="Normal 9 4" xfId="1499" xr:uid="{00000000-0005-0000-0000-0000DF050000}"/>
    <cellStyle name="Normal 9 5" xfId="1500" xr:uid="{00000000-0005-0000-0000-0000E0050000}"/>
    <cellStyle name="Normal 90" xfId="1501" xr:uid="{00000000-0005-0000-0000-0000E1050000}"/>
    <cellStyle name="Normal 91" xfId="1502" xr:uid="{00000000-0005-0000-0000-0000E2050000}"/>
    <cellStyle name="Normal 92" xfId="1503" xr:uid="{00000000-0005-0000-0000-0000E3050000}"/>
    <cellStyle name="Normal 93" xfId="1504" xr:uid="{00000000-0005-0000-0000-0000E4050000}"/>
    <cellStyle name="Normal 94" xfId="1505" xr:uid="{00000000-0005-0000-0000-0000E5050000}"/>
    <cellStyle name="Normal 95" xfId="1506" xr:uid="{00000000-0005-0000-0000-0000E6050000}"/>
    <cellStyle name="Normal 96" xfId="1507" xr:uid="{00000000-0005-0000-0000-0000E7050000}"/>
    <cellStyle name="Normal 97" xfId="1508" xr:uid="{00000000-0005-0000-0000-0000E8050000}"/>
    <cellStyle name="Normal 98" xfId="1509" xr:uid="{00000000-0005-0000-0000-0000E9050000}"/>
    <cellStyle name="Normal 99" xfId="1510" xr:uid="{00000000-0005-0000-0000-0000EA050000}"/>
    <cellStyle name="Normal_Overall_2" xfId="1511" xr:uid="{00000000-0005-0000-0000-0000EE050000}"/>
    <cellStyle name="Normal1" xfId="1512" xr:uid="{00000000-0005-0000-0000-0000F1050000}"/>
    <cellStyle name="Normal2" xfId="1513" xr:uid="{00000000-0005-0000-0000-0000F2050000}"/>
    <cellStyle name="Normal3" xfId="1514" xr:uid="{00000000-0005-0000-0000-0000F3050000}"/>
    <cellStyle name="Normale_contvalve" xfId="1515" xr:uid="{00000000-0005-0000-0000-0000F4050000}"/>
    <cellStyle name="Note 2" xfId="1516" xr:uid="{00000000-0005-0000-0000-0000F5050000}"/>
    <cellStyle name="Note 2 2" xfId="1517" xr:uid="{00000000-0005-0000-0000-0000F6050000}"/>
    <cellStyle name="Note 2 2 2" xfId="1518" xr:uid="{00000000-0005-0000-0000-0000F7050000}"/>
    <cellStyle name="Note 2 2 3" xfId="1519" xr:uid="{00000000-0005-0000-0000-0000F8050000}"/>
    <cellStyle name="Note 2 2 4" xfId="1520" xr:uid="{00000000-0005-0000-0000-0000F9050000}"/>
    <cellStyle name="Note 2 2 5" xfId="1521" xr:uid="{00000000-0005-0000-0000-0000FA050000}"/>
    <cellStyle name="Note 2 2 6" xfId="1522" xr:uid="{00000000-0005-0000-0000-0000FB050000}"/>
    <cellStyle name="Note 2 2 7" xfId="1523" xr:uid="{00000000-0005-0000-0000-0000FC050000}"/>
    <cellStyle name="Note 2 3" xfId="1524" xr:uid="{00000000-0005-0000-0000-0000FD050000}"/>
    <cellStyle name="Note 2 4" xfId="1525" xr:uid="{00000000-0005-0000-0000-0000FE050000}"/>
    <cellStyle name="Note 2 5" xfId="1526" xr:uid="{00000000-0005-0000-0000-0000FF050000}"/>
    <cellStyle name="Note 2 6" xfId="1527" xr:uid="{00000000-0005-0000-0000-000000060000}"/>
    <cellStyle name="Note 2 7" xfId="1528" xr:uid="{00000000-0005-0000-0000-000001060000}"/>
    <cellStyle name="Note 2 8" xfId="1529" xr:uid="{00000000-0005-0000-0000-000002060000}"/>
    <cellStyle name="Note 3" xfId="1530" xr:uid="{00000000-0005-0000-0000-000003060000}"/>
    <cellStyle name="Note 3 2" xfId="1531" xr:uid="{00000000-0005-0000-0000-000004060000}"/>
    <cellStyle name="Note 3 2 2" xfId="1532" xr:uid="{00000000-0005-0000-0000-000005060000}"/>
    <cellStyle name="Note 3 2 3" xfId="1533" xr:uid="{00000000-0005-0000-0000-000006060000}"/>
    <cellStyle name="Note 3 2 4" xfId="1534" xr:uid="{00000000-0005-0000-0000-000007060000}"/>
    <cellStyle name="Note 3 2 5" xfId="1535" xr:uid="{00000000-0005-0000-0000-000008060000}"/>
    <cellStyle name="Note 3 2 6" xfId="1536" xr:uid="{00000000-0005-0000-0000-000009060000}"/>
    <cellStyle name="Note 3 2 7" xfId="1537" xr:uid="{00000000-0005-0000-0000-00000A060000}"/>
    <cellStyle name="Note 3 3" xfId="1538" xr:uid="{00000000-0005-0000-0000-00000B060000}"/>
    <cellStyle name="Note 3 3 2" xfId="1539" xr:uid="{00000000-0005-0000-0000-00000C060000}"/>
    <cellStyle name="Note 3 3 3" xfId="1540" xr:uid="{00000000-0005-0000-0000-00000D060000}"/>
    <cellStyle name="Note 3 3 4" xfId="1541" xr:uid="{00000000-0005-0000-0000-00000E060000}"/>
    <cellStyle name="Note 3 3 5" xfId="1542" xr:uid="{00000000-0005-0000-0000-00000F060000}"/>
    <cellStyle name="Note 3 3 6" xfId="1543" xr:uid="{00000000-0005-0000-0000-000010060000}"/>
    <cellStyle name="Note 3 3 7" xfId="1544" xr:uid="{00000000-0005-0000-0000-000011060000}"/>
    <cellStyle name="Note 3 4" xfId="1545" xr:uid="{00000000-0005-0000-0000-000012060000}"/>
    <cellStyle name="Note 3 5" xfId="1546" xr:uid="{00000000-0005-0000-0000-000013060000}"/>
    <cellStyle name="Note 3 6" xfId="1547" xr:uid="{00000000-0005-0000-0000-000014060000}"/>
    <cellStyle name="Note 3 7" xfId="1548" xr:uid="{00000000-0005-0000-0000-000015060000}"/>
    <cellStyle name="Note 3 8" xfId="1549" xr:uid="{00000000-0005-0000-0000-000016060000}"/>
    <cellStyle name="Note 3 9" xfId="1550" xr:uid="{00000000-0005-0000-0000-000017060000}"/>
    <cellStyle name="Note 4" xfId="1551" xr:uid="{00000000-0005-0000-0000-000018060000}"/>
    <cellStyle name="Note 4 2" xfId="1552" xr:uid="{00000000-0005-0000-0000-000019060000}"/>
    <cellStyle name="Note 4 3" xfId="1553" xr:uid="{00000000-0005-0000-0000-00001A060000}"/>
    <cellStyle name="Note 4 4" xfId="1554" xr:uid="{00000000-0005-0000-0000-00001B060000}"/>
    <cellStyle name="Note 4 5" xfId="1555" xr:uid="{00000000-0005-0000-0000-00001C060000}"/>
    <cellStyle name="Note 4 6" xfId="1556" xr:uid="{00000000-0005-0000-0000-00001D060000}"/>
    <cellStyle name="Note 4 7" xfId="1557" xr:uid="{00000000-0005-0000-0000-00001E060000}"/>
    <cellStyle name="Œ…‹æØ‚è [0.00]_GRD" xfId="1558" xr:uid="{00000000-0005-0000-0000-00001F060000}"/>
    <cellStyle name="Œ…‹æØ‚è_GRD" xfId="1559" xr:uid="{00000000-0005-0000-0000-000020060000}"/>
    <cellStyle name="Output 2" xfId="1560" xr:uid="{00000000-0005-0000-0000-000021060000}"/>
    <cellStyle name="Output 2 2" xfId="1561" xr:uid="{00000000-0005-0000-0000-000022060000}"/>
    <cellStyle name="Output 2 2 2" xfId="1562" xr:uid="{00000000-0005-0000-0000-000023060000}"/>
    <cellStyle name="Output 2 2 3" xfId="1563" xr:uid="{00000000-0005-0000-0000-000024060000}"/>
    <cellStyle name="Output 2 2 4" xfId="1564" xr:uid="{00000000-0005-0000-0000-000025060000}"/>
    <cellStyle name="Output 2 2 5" xfId="1565" xr:uid="{00000000-0005-0000-0000-000026060000}"/>
    <cellStyle name="Output 2 2 6" xfId="1566" xr:uid="{00000000-0005-0000-0000-000027060000}"/>
    <cellStyle name="Output 2 2 7" xfId="1567" xr:uid="{00000000-0005-0000-0000-000028060000}"/>
    <cellStyle name="Output 2 3" xfId="1568" xr:uid="{00000000-0005-0000-0000-000029060000}"/>
    <cellStyle name="Output 2 4" xfId="1569" xr:uid="{00000000-0005-0000-0000-00002A060000}"/>
    <cellStyle name="Output 2 5" xfId="1570" xr:uid="{00000000-0005-0000-0000-00002B060000}"/>
    <cellStyle name="Output 2 6" xfId="1571" xr:uid="{00000000-0005-0000-0000-00002C060000}"/>
    <cellStyle name="Output 2 7" xfId="1572" xr:uid="{00000000-0005-0000-0000-00002D060000}"/>
    <cellStyle name="Output 2 8" xfId="1573" xr:uid="{00000000-0005-0000-0000-00002E060000}"/>
    <cellStyle name="Output 3" xfId="1574" xr:uid="{00000000-0005-0000-0000-00002F060000}"/>
    <cellStyle name="Output 3 2" xfId="1575" xr:uid="{00000000-0005-0000-0000-000030060000}"/>
    <cellStyle name="Output 3 3" xfId="1576" xr:uid="{00000000-0005-0000-0000-000031060000}"/>
    <cellStyle name="Output 3 4" xfId="1577" xr:uid="{00000000-0005-0000-0000-000032060000}"/>
    <cellStyle name="Output 3 5" xfId="1578" xr:uid="{00000000-0005-0000-0000-000033060000}"/>
    <cellStyle name="Output 3 6" xfId="1579" xr:uid="{00000000-0005-0000-0000-000034060000}"/>
    <cellStyle name="Output 3 7" xfId="1580" xr:uid="{00000000-0005-0000-0000-000035060000}"/>
    <cellStyle name="per.style" xfId="1581" xr:uid="{00000000-0005-0000-0000-000036060000}"/>
    <cellStyle name="Percent [0]" xfId="1583" xr:uid="{00000000-0005-0000-0000-000038060000}"/>
    <cellStyle name="Percent [00]" xfId="1584" xr:uid="{00000000-0005-0000-0000-000039060000}"/>
    <cellStyle name="Percent [00] 2" xfId="1585" xr:uid="{00000000-0005-0000-0000-00003A060000}"/>
    <cellStyle name="Percent [2]" xfId="1586" xr:uid="{00000000-0005-0000-0000-00003B060000}"/>
    <cellStyle name="Percent 10" xfId="1587" xr:uid="{00000000-0005-0000-0000-00003C060000}"/>
    <cellStyle name="Percent 10 2" xfId="1588" xr:uid="{00000000-0005-0000-0000-00003D060000}"/>
    <cellStyle name="Percent 11" xfId="1589" xr:uid="{00000000-0005-0000-0000-00003E060000}"/>
    <cellStyle name="Percent 12" xfId="1590" xr:uid="{00000000-0005-0000-0000-00003F060000}"/>
    <cellStyle name="Percent 13" xfId="1591" xr:uid="{00000000-0005-0000-0000-000040060000}"/>
    <cellStyle name="Percent 14" xfId="1592" xr:uid="{00000000-0005-0000-0000-000041060000}"/>
    <cellStyle name="Percent 15" xfId="1593" xr:uid="{00000000-0005-0000-0000-000042060000}"/>
    <cellStyle name="Percent 15 2" xfId="1594" xr:uid="{00000000-0005-0000-0000-000043060000}"/>
    <cellStyle name="Percent 16" xfId="1595" xr:uid="{00000000-0005-0000-0000-000044060000}"/>
    <cellStyle name="Percent 16 2" xfId="1596" xr:uid="{00000000-0005-0000-0000-000045060000}"/>
    <cellStyle name="Percent 17" xfId="1597" xr:uid="{00000000-0005-0000-0000-000046060000}"/>
    <cellStyle name="Percent 17 2" xfId="1598" xr:uid="{00000000-0005-0000-0000-000047060000}"/>
    <cellStyle name="Percent 18" xfId="1599" xr:uid="{00000000-0005-0000-0000-000048060000}"/>
    <cellStyle name="Percent 18 2" xfId="1600" xr:uid="{00000000-0005-0000-0000-000049060000}"/>
    <cellStyle name="Percent 19" xfId="1601" xr:uid="{00000000-0005-0000-0000-00004A060000}"/>
    <cellStyle name="Percent 19 2" xfId="1602" xr:uid="{00000000-0005-0000-0000-00004B060000}"/>
    <cellStyle name="Percent 2" xfId="1603" xr:uid="{00000000-0005-0000-0000-00004C060000}"/>
    <cellStyle name="Percent 2 2" xfId="1604" xr:uid="{00000000-0005-0000-0000-00004D060000}"/>
    <cellStyle name="Percent 2 2 2" xfId="1605" xr:uid="{00000000-0005-0000-0000-00004E060000}"/>
    <cellStyle name="Percent 2 3" xfId="1606" xr:uid="{00000000-0005-0000-0000-00004F060000}"/>
    <cellStyle name="Percent 2 3 2" xfId="1607" xr:uid="{00000000-0005-0000-0000-000050060000}"/>
    <cellStyle name="Percent 2 3 3" xfId="1608" xr:uid="{00000000-0005-0000-0000-000051060000}"/>
    <cellStyle name="Percent 20" xfId="1609" xr:uid="{00000000-0005-0000-0000-000052060000}"/>
    <cellStyle name="Percent 20 2" xfId="1610" xr:uid="{00000000-0005-0000-0000-000053060000}"/>
    <cellStyle name="Percent 21" xfId="1611" xr:uid="{00000000-0005-0000-0000-000054060000}"/>
    <cellStyle name="Percent 21 2" xfId="1612" xr:uid="{00000000-0005-0000-0000-000055060000}"/>
    <cellStyle name="Percent 22" xfId="1613" xr:uid="{00000000-0005-0000-0000-000056060000}"/>
    <cellStyle name="Percent 22 2" xfId="1614" xr:uid="{00000000-0005-0000-0000-000057060000}"/>
    <cellStyle name="Percent 23" xfId="1615" xr:uid="{00000000-0005-0000-0000-000058060000}"/>
    <cellStyle name="Percent 23 2" xfId="1616" xr:uid="{00000000-0005-0000-0000-000059060000}"/>
    <cellStyle name="Percent 24" xfId="1617" xr:uid="{00000000-0005-0000-0000-00005A060000}"/>
    <cellStyle name="Percent 24 2" xfId="1618" xr:uid="{00000000-0005-0000-0000-00005B060000}"/>
    <cellStyle name="Percent 25" xfId="1619" xr:uid="{00000000-0005-0000-0000-00005C060000}"/>
    <cellStyle name="Percent 25 2" xfId="1620" xr:uid="{00000000-0005-0000-0000-00005D060000}"/>
    <cellStyle name="Percent 26" xfId="1621" xr:uid="{00000000-0005-0000-0000-00005E060000}"/>
    <cellStyle name="Percent 26 2" xfId="1622" xr:uid="{00000000-0005-0000-0000-00005F060000}"/>
    <cellStyle name="Percent 27" xfId="1623" xr:uid="{00000000-0005-0000-0000-000060060000}"/>
    <cellStyle name="Percent 28" xfId="1624" xr:uid="{00000000-0005-0000-0000-000061060000}"/>
    <cellStyle name="Percent 29" xfId="1625" xr:uid="{00000000-0005-0000-0000-000062060000}"/>
    <cellStyle name="Percent 3" xfId="1626" xr:uid="{00000000-0005-0000-0000-000063060000}"/>
    <cellStyle name="Percent 3 2" xfId="1627" xr:uid="{00000000-0005-0000-0000-000064060000}"/>
    <cellStyle name="Percent 3 3" xfId="1628" xr:uid="{00000000-0005-0000-0000-000065060000}"/>
    <cellStyle name="Percent 3 3 2" xfId="1629" xr:uid="{00000000-0005-0000-0000-000066060000}"/>
    <cellStyle name="Percent 3 3 3" xfId="1630" xr:uid="{00000000-0005-0000-0000-000067060000}"/>
    <cellStyle name="Percent 3 4" xfId="1631" xr:uid="{00000000-0005-0000-0000-000068060000}"/>
    <cellStyle name="Percent 3 4 2" xfId="1632" xr:uid="{00000000-0005-0000-0000-000069060000}"/>
    <cellStyle name="Percent 3 5" xfId="1633" xr:uid="{00000000-0005-0000-0000-00006A060000}"/>
    <cellStyle name="Percent 3 6" xfId="1634" xr:uid="{00000000-0005-0000-0000-00006B060000}"/>
    <cellStyle name="Percent 30" xfId="1635" xr:uid="{00000000-0005-0000-0000-00006C060000}"/>
    <cellStyle name="Percent 31" xfId="1636" xr:uid="{00000000-0005-0000-0000-00006D060000}"/>
    <cellStyle name="Percent 32" xfId="1637" xr:uid="{00000000-0005-0000-0000-00006E060000}"/>
    <cellStyle name="Percent 33" xfId="1638" xr:uid="{00000000-0005-0000-0000-00006F060000}"/>
    <cellStyle name="Percent 34" xfId="1639" xr:uid="{00000000-0005-0000-0000-000070060000}"/>
    <cellStyle name="Percent 35" xfId="1640" xr:uid="{00000000-0005-0000-0000-000071060000}"/>
    <cellStyle name="Percent 36" xfId="1641" xr:uid="{00000000-0005-0000-0000-000072060000}"/>
    <cellStyle name="Percent 37" xfId="1642" xr:uid="{00000000-0005-0000-0000-000073060000}"/>
    <cellStyle name="Percent 38" xfId="1643" xr:uid="{00000000-0005-0000-0000-000074060000}"/>
    <cellStyle name="Percent 39" xfId="1644" xr:uid="{00000000-0005-0000-0000-000075060000}"/>
    <cellStyle name="Percent 4" xfId="1645" xr:uid="{00000000-0005-0000-0000-000076060000}"/>
    <cellStyle name="Percent 4 2" xfId="1646" xr:uid="{00000000-0005-0000-0000-000077060000}"/>
    <cellStyle name="Percent 4 2 2" xfId="1647" xr:uid="{00000000-0005-0000-0000-000078060000}"/>
    <cellStyle name="Percent 4 2 3" xfId="1648" xr:uid="{00000000-0005-0000-0000-000079060000}"/>
    <cellStyle name="Percent 4 3" xfId="1649" xr:uid="{00000000-0005-0000-0000-00007A060000}"/>
    <cellStyle name="Percent 4 3 2" xfId="1650" xr:uid="{00000000-0005-0000-0000-00007B060000}"/>
    <cellStyle name="Percent 4 3 3" xfId="1651" xr:uid="{00000000-0005-0000-0000-00007C060000}"/>
    <cellStyle name="Percent 4 4" xfId="1652" xr:uid="{00000000-0005-0000-0000-00007D060000}"/>
    <cellStyle name="Percent 40" xfId="1653" xr:uid="{00000000-0005-0000-0000-00007E060000}"/>
    <cellStyle name="Percent 41" xfId="1654" xr:uid="{00000000-0005-0000-0000-00007F060000}"/>
    <cellStyle name="Percent 42" xfId="1655" xr:uid="{00000000-0005-0000-0000-000080060000}"/>
    <cellStyle name="Percent 43" xfId="1656" xr:uid="{00000000-0005-0000-0000-000081060000}"/>
    <cellStyle name="Percent 44" xfId="1657" xr:uid="{00000000-0005-0000-0000-000082060000}"/>
    <cellStyle name="Percent 45" xfId="1658" xr:uid="{00000000-0005-0000-0000-000083060000}"/>
    <cellStyle name="Percent 46" xfId="1659" xr:uid="{00000000-0005-0000-0000-000084060000}"/>
    <cellStyle name="Percent 47" xfId="1660" xr:uid="{00000000-0005-0000-0000-000085060000}"/>
    <cellStyle name="Percent 48" xfId="1661" xr:uid="{00000000-0005-0000-0000-000086060000}"/>
    <cellStyle name="Percent 49" xfId="1662" xr:uid="{00000000-0005-0000-0000-000087060000}"/>
    <cellStyle name="Percent 5" xfId="1663" xr:uid="{00000000-0005-0000-0000-000088060000}"/>
    <cellStyle name="Percent 5 2" xfId="1664" xr:uid="{00000000-0005-0000-0000-000089060000}"/>
    <cellStyle name="Percent 50" xfId="1665" xr:uid="{00000000-0005-0000-0000-00008A060000}"/>
    <cellStyle name="Percent 51" xfId="1666" xr:uid="{00000000-0005-0000-0000-00008B060000}"/>
    <cellStyle name="Percent 52" xfId="1667" xr:uid="{00000000-0005-0000-0000-00008C060000}"/>
    <cellStyle name="Percent 53" xfId="1668" xr:uid="{00000000-0005-0000-0000-00008D060000}"/>
    <cellStyle name="Percent 6" xfId="1669" xr:uid="{00000000-0005-0000-0000-00008E060000}"/>
    <cellStyle name="Percent 6 10" xfId="1670" xr:uid="{00000000-0005-0000-0000-00008F060000}"/>
    <cellStyle name="Percent 6 11" xfId="1671" xr:uid="{00000000-0005-0000-0000-000090060000}"/>
    <cellStyle name="Percent 6 12" xfId="1672" xr:uid="{00000000-0005-0000-0000-000091060000}"/>
    <cellStyle name="Percent 6 13" xfId="1673" xr:uid="{00000000-0005-0000-0000-000092060000}"/>
    <cellStyle name="Percent 6 14" xfId="1674" xr:uid="{00000000-0005-0000-0000-000093060000}"/>
    <cellStyle name="Percent 6 15" xfId="1675" xr:uid="{00000000-0005-0000-0000-000094060000}"/>
    <cellStyle name="Percent 6 16" xfId="1676" xr:uid="{00000000-0005-0000-0000-000095060000}"/>
    <cellStyle name="Percent 6 17" xfId="1677" xr:uid="{00000000-0005-0000-0000-000096060000}"/>
    <cellStyle name="Percent 6 18" xfId="1678" xr:uid="{00000000-0005-0000-0000-000097060000}"/>
    <cellStyle name="Percent 6 19" xfId="1679" xr:uid="{00000000-0005-0000-0000-000098060000}"/>
    <cellStyle name="Percent 6 2" xfId="1680" xr:uid="{00000000-0005-0000-0000-000099060000}"/>
    <cellStyle name="Percent 6 20" xfId="1681" xr:uid="{00000000-0005-0000-0000-00009A060000}"/>
    <cellStyle name="Percent 6 21" xfId="1682" xr:uid="{00000000-0005-0000-0000-00009B060000}"/>
    <cellStyle name="Percent 6 22" xfId="1683" xr:uid="{00000000-0005-0000-0000-00009C060000}"/>
    <cellStyle name="Percent 6 23" xfId="1684" xr:uid="{00000000-0005-0000-0000-00009D060000}"/>
    <cellStyle name="Percent 6 24" xfId="1685" xr:uid="{00000000-0005-0000-0000-00009E060000}"/>
    <cellStyle name="Percent 6 25" xfId="1686" xr:uid="{00000000-0005-0000-0000-00009F060000}"/>
    <cellStyle name="Percent 6 26" xfId="1687" xr:uid="{00000000-0005-0000-0000-0000A0060000}"/>
    <cellStyle name="Percent 6 27" xfId="1688" xr:uid="{00000000-0005-0000-0000-0000A1060000}"/>
    <cellStyle name="Percent 6 28" xfId="1689" xr:uid="{00000000-0005-0000-0000-0000A2060000}"/>
    <cellStyle name="Percent 6 29" xfId="1690" xr:uid="{00000000-0005-0000-0000-0000A3060000}"/>
    <cellStyle name="Percent 6 3" xfId="1691" xr:uid="{00000000-0005-0000-0000-0000A4060000}"/>
    <cellStyle name="Percent 6 4" xfId="1692" xr:uid="{00000000-0005-0000-0000-0000A5060000}"/>
    <cellStyle name="Percent 6 5" xfId="1693" xr:uid="{00000000-0005-0000-0000-0000A6060000}"/>
    <cellStyle name="Percent 6 6" xfId="1694" xr:uid="{00000000-0005-0000-0000-0000A7060000}"/>
    <cellStyle name="Percent 6 7" xfId="1695" xr:uid="{00000000-0005-0000-0000-0000A8060000}"/>
    <cellStyle name="Percent 6 8" xfId="1696" xr:uid="{00000000-0005-0000-0000-0000A9060000}"/>
    <cellStyle name="Percent 6 9" xfId="1697" xr:uid="{00000000-0005-0000-0000-0000AA060000}"/>
    <cellStyle name="Percent 7" xfId="1698" xr:uid="{00000000-0005-0000-0000-0000AB060000}"/>
    <cellStyle name="Percent 7 2" xfId="1699" xr:uid="{00000000-0005-0000-0000-0000AC060000}"/>
    <cellStyle name="Percent 8" xfId="1700" xr:uid="{00000000-0005-0000-0000-0000AD060000}"/>
    <cellStyle name="Percent 9" xfId="1701" xr:uid="{00000000-0005-0000-0000-0000AE060000}"/>
    <cellStyle name="Percent 9 2" xfId="1702" xr:uid="{00000000-0005-0000-0000-0000AF060000}"/>
    <cellStyle name="Persen" xfId="1582" builtinId="5"/>
    <cellStyle name="PrePop Currency (0)" xfId="1703" xr:uid="{00000000-0005-0000-0000-0000B0060000}"/>
    <cellStyle name="PrePop Currency (2)" xfId="1704" xr:uid="{00000000-0005-0000-0000-0000B1060000}"/>
    <cellStyle name="PrePop Units (0)" xfId="1705" xr:uid="{00000000-0005-0000-0000-0000B2060000}"/>
    <cellStyle name="PrePop Units (1)" xfId="1706" xr:uid="{00000000-0005-0000-0000-0000B3060000}"/>
    <cellStyle name="PrePop Units (1) 2" xfId="1707" xr:uid="{00000000-0005-0000-0000-0000B4060000}"/>
    <cellStyle name="PrePop Units (2)" xfId="1708" xr:uid="{00000000-0005-0000-0000-0000B5060000}"/>
    <cellStyle name="Price" xfId="1709" xr:uid="{00000000-0005-0000-0000-0000B6060000}"/>
    <cellStyle name="PRIME" xfId="1710" xr:uid="{00000000-0005-0000-0000-0000B7060000}"/>
    <cellStyle name="PRIME 2" xfId="1711" xr:uid="{00000000-0005-0000-0000-0000B8060000}"/>
    <cellStyle name="PRIME 2 2" xfId="1712" xr:uid="{00000000-0005-0000-0000-0000B9060000}"/>
    <cellStyle name="PRIME 2 3" xfId="1713" xr:uid="{00000000-0005-0000-0000-0000BA060000}"/>
    <cellStyle name="PRIME 2 4" xfId="1714" xr:uid="{00000000-0005-0000-0000-0000BB060000}"/>
    <cellStyle name="PRIME 2 5" xfId="1715" xr:uid="{00000000-0005-0000-0000-0000BC060000}"/>
    <cellStyle name="PRIME 3" xfId="1716" xr:uid="{00000000-0005-0000-0000-0000BD060000}"/>
    <cellStyle name="PRIME 3 2" xfId="1717" xr:uid="{00000000-0005-0000-0000-0000BE060000}"/>
    <cellStyle name="PRIME 3 3" xfId="1718" xr:uid="{00000000-0005-0000-0000-0000BF060000}"/>
    <cellStyle name="PRIME 3 4" xfId="1719" xr:uid="{00000000-0005-0000-0000-0000C0060000}"/>
    <cellStyle name="PRIME 4" xfId="1720" xr:uid="{00000000-0005-0000-0000-0000C1060000}"/>
    <cellStyle name="PRIME 5" xfId="1721" xr:uid="{00000000-0005-0000-0000-0000C2060000}"/>
    <cellStyle name="PRIME 6" xfId="1722" xr:uid="{00000000-0005-0000-0000-0000C3060000}"/>
    <cellStyle name="PRIME 7" xfId="1723" xr:uid="{00000000-0005-0000-0000-0000C4060000}"/>
    <cellStyle name="PRIMELINE" xfId="1724" xr:uid="{00000000-0005-0000-0000-0000C5060000}"/>
    <cellStyle name="PRIMELINE 2" xfId="1725" xr:uid="{00000000-0005-0000-0000-0000C6060000}"/>
    <cellStyle name="PRIMELINE 2 2" xfId="1726" xr:uid="{00000000-0005-0000-0000-0000C7060000}"/>
    <cellStyle name="PRIMELINE 2 3" xfId="1727" xr:uid="{00000000-0005-0000-0000-0000C8060000}"/>
    <cellStyle name="PRIMELINE 2 4" xfId="1728" xr:uid="{00000000-0005-0000-0000-0000C9060000}"/>
    <cellStyle name="PRIMELINE 2 5" xfId="1729" xr:uid="{00000000-0005-0000-0000-0000CA060000}"/>
    <cellStyle name="PRIMELINE 3" xfId="1730" xr:uid="{00000000-0005-0000-0000-0000CB060000}"/>
    <cellStyle name="PRIMELINE 3 2" xfId="1731" xr:uid="{00000000-0005-0000-0000-0000CC060000}"/>
    <cellStyle name="PRIMELINE 3 3" xfId="1732" xr:uid="{00000000-0005-0000-0000-0000CD060000}"/>
    <cellStyle name="PRIMELINE 3 4" xfId="1733" xr:uid="{00000000-0005-0000-0000-0000CE060000}"/>
    <cellStyle name="PRIMELINE 4" xfId="1734" xr:uid="{00000000-0005-0000-0000-0000CF060000}"/>
    <cellStyle name="PRIMELINE 5" xfId="1735" xr:uid="{00000000-0005-0000-0000-0000D0060000}"/>
    <cellStyle name="PRIMELINE 6" xfId="1736" xr:uid="{00000000-0005-0000-0000-0000D1060000}"/>
    <cellStyle name="PRIMELINE 7" xfId="1737" xr:uid="{00000000-0005-0000-0000-0000D2060000}"/>
    <cellStyle name="Product Title" xfId="1738" xr:uid="{00000000-0005-0000-0000-0000D3060000}"/>
    <cellStyle name="Prozent_NK Kreis" xfId="1739" xr:uid="{00000000-0005-0000-0000-0000D4060000}"/>
    <cellStyle name="regstoresfromspecstores" xfId="1740" xr:uid="{00000000-0005-0000-0000-0000D5060000}"/>
    <cellStyle name="RevList" xfId="1741" xr:uid="{00000000-0005-0000-0000-0000D6060000}"/>
    <cellStyle name="sbt2" xfId="1742" xr:uid="{00000000-0005-0000-0000-0000D7060000}"/>
    <cellStyle name="sbt2 2" xfId="1743" xr:uid="{00000000-0005-0000-0000-0000D8060000}"/>
    <cellStyle name="sbt2 2 2" xfId="1744" xr:uid="{00000000-0005-0000-0000-0000D9060000}"/>
    <cellStyle name="sbt2 2 3" xfId="1745" xr:uid="{00000000-0005-0000-0000-0000DA060000}"/>
    <cellStyle name="sbt2 2 4" xfId="1746" xr:uid="{00000000-0005-0000-0000-0000DB060000}"/>
    <cellStyle name="sbt2 2 5" xfId="1747" xr:uid="{00000000-0005-0000-0000-0000DC060000}"/>
    <cellStyle name="sbt2 2 6" xfId="1748" xr:uid="{00000000-0005-0000-0000-0000DD060000}"/>
    <cellStyle name="sbt2 3" xfId="1749" xr:uid="{00000000-0005-0000-0000-0000DE060000}"/>
    <cellStyle name="sbt2 3 2" xfId="1750" xr:uid="{00000000-0005-0000-0000-0000DF060000}"/>
    <cellStyle name="sbt2 3 3" xfId="1751" xr:uid="{00000000-0005-0000-0000-0000E0060000}"/>
    <cellStyle name="sbt2 3 4" xfId="1752" xr:uid="{00000000-0005-0000-0000-0000E1060000}"/>
    <cellStyle name="sbt2 3 5" xfId="1753" xr:uid="{00000000-0005-0000-0000-0000E2060000}"/>
    <cellStyle name="sbt2 4" xfId="1754" xr:uid="{00000000-0005-0000-0000-0000E3060000}"/>
    <cellStyle name="sbt2 5" xfId="1755" xr:uid="{00000000-0005-0000-0000-0000E4060000}"/>
    <cellStyle name="sbt2 6" xfId="1756" xr:uid="{00000000-0005-0000-0000-0000E5060000}"/>
    <cellStyle name="sbt2 7" xfId="1757" xr:uid="{00000000-0005-0000-0000-0000E6060000}"/>
    <cellStyle name="sbt2 8" xfId="1758" xr:uid="{00000000-0005-0000-0000-0000E7060000}"/>
    <cellStyle name="SHADEDSTORES" xfId="1759" xr:uid="{00000000-0005-0000-0000-0000E8060000}"/>
    <cellStyle name="SHADEDSTORES 2" xfId="1760" xr:uid="{00000000-0005-0000-0000-0000E9060000}"/>
    <cellStyle name="SHADEDSTORES 2 2" xfId="1761" xr:uid="{00000000-0005-0000-0000-0000EA060000}"/>
    <cellStyle name="SHADEDSTORES 2 3" xfId="1762" xr:uid="{00000000-0005-0000-0000-0000EB060000}"/>
    <cellStyle name="SHADEDSTORES 2 4" xfId="1763" xr:uid="{00000000-0005-0000-0000-0000EC060000}"/>
    <cellStyle name="SHADEDSTORES 2 5" xfId="1764" xr:uid="{00000000-0005-0000-0000-0000ED060000}"/>
    <cellStyle name="SHADEDSTORES 2 6" xfId="1765" xr:uid="{00000000-0005-0000-0000-0000EE060000}"/>
    <cellStyle name="SHADEDSTORES 3" xfId="1766" xr:uid="{00000000-0005-0000-0000-0000EF060000}"/>
    <cellStyle name="SHADEDSTORES 3 2" xfId="1767" xr:uid="{00000000-0005-0000-0000-0000F0060000}"/>
    <cellStyle name="SHADEDSTORES 3 3" xfId="1768" xr:uid="{00000000-0005-0000-0000-0000F1060000}"/>
    <cellStyle name="SHADEDSTORES 3 4" xfId="1769" xr:uid="{00000000-0005-0000-0000-0000F2060000}"/>
    <cellStyle name="SHADEDSTORES 3 5" xfId="1770" xr:uid="{00000000-0005-0000-0000-0000F3060000}"/>
    <cellStyle name="SHADEDSTORES 4" xfId="1771" xr:uid="{00000000-0005-0000-0000-0000F4060000}"/>
    <cellStyle name="SHADEDSTORES 5" xfId="1772" xr:uid="{00000000-0005-0000-0000-0000F5060000}"/>
    <cellStyle name="SHADEDSTORES 6" xfId="1773" xr:uid="{00000000-0005-0000-0000-0000F6060000}"/>
    <cellStyle name="SHADEDSTORES 7" xfId="1774" xr:uid="{00000000-0005-0000-0000-0000F7060000}"/>
    <cellStyle name="specstores" xfId="1775" xr:uid="{00000000-0005-0000-0000-0000F8060000}"/>
    <cellStyle name="Standard" xfId="1776" xr:uid="{00000000-0005-0000-0000-0000F9060000}"/>
    <cellStyle name="Style 1" xfId="1777" xr:uid="{00000000-0005-0000-0000-0000FA060000}"/>
    <cellStyle name="SUBPRIME" xfId="1778" xr:uid="{00000000-0005-0000-0000-0000FB060000}"/>
    <cellStyle name="SUBPRIME 2" xfId="1779" xr:uid="{00000000-0005-0000-0000-0000FC060000}"/>
    <cellStyle name="SUBPRIME 2 2" xfId="1780" xr:uid="{00000000-0005-0000-0000-0000FD060000}"/>
    <cellStyle name="SUBPRIME 2 3" xfId="1781" xr:uid="{00000000-0005-0000-0000-0000FE060000}"/>
    <cellStyle name="SUBPRIME 2 4" xfId="1782" xr:uid="{00000000-0005-0000-0000-0000FF060000}"/>
    <cellStyle name="SUBPRIME 2 5" xfId="1783" xr:uid="{00000000-0005-0000-0000-000000070000}"/>
    <cellStyle name="SUBPRIME 3" xfId="1784" xr:uid="{00000000-0005-0000-0000-000001070000}"/>
    <cellStyle name="SUBPRIME 3 2" xfId="1785" xr:uid="{00000000-0005-0000-0000-000002070000}"/>
    <cellStyle name="SUBPRIME 3 3" xfId="1786" xr:uid="{00000000-0005-0000-0000-000003070000}"/>
    <cellStyle name="SUBPRIME 3 4" xfId="1787" xr:uid="{00000000-0005-0000-0000-000004070000}"/>
    <cellStyle name="SUBPRIME 4" xfId="1788" xr:uid="{00000000-0005-0000-0000-000005070000}"/>
    <cellStyle name="SUBPRIME 5" xfId="1789" xr:uid="{00000000-0005-0000-0000-000006070000}"/>
    <cellStyle name="SUBPRIME 6" xfId="1790" xr:uid="{00000000-0005-0000-0000-000007070000}"/>
    <cellStyle name="SUBPRIME 7" xfId="1791" xr:uid="{00000000-0005-0000-0000-000008070000}"/>
    <cellStyle name="subt1" xfId="1792" xr:uid="{00000000-0005-0000-0000-000009070000}"/>
    <cellStyle name="Subtotal" xfId="1793" xr:uid="{00000000-0005-0000-0000-00000A070000}"/>
    <cellStyle name="Summmary" xfId="1794" xr:uid="{00000000-0005-0000-0000-00000B070000}"/>
    <cellStyle name="TableStyleLight1" xfId="1795" xr:uid="{00000000-0005-0000-0000-00000C070000}"/>
    <cellStyle name="TEST" xfId="1796" xr:uid="{00000000-0005-0000-0000-00000D070000}"/>
    <cellStyle name="TEST 2" xfId="1797" xr:uid="{00000000-0005-0000-0000-00000E070000}"/>
    <cellStyle name="TEST 2 2" xfId="1798" xr:uid="{00000000-0005-0000-0000-00000F070000}"/>
    <cellStyle name="TEST 2 3" xfId="1799" xr:uid="{00000000-0005-0000-0000-000010070000}"/>
    <cellStyle name="TEST 2 4" xfId="1800" xr:uid="{00000000-0005-0000-0000-000011070000}"/>
    <cellStyle name="TEST 2 5" xfId="1801" xr:uid="{00000000-0005-0000-0000-000012070000}"/>
    <cellStyle name="TEST 3" xfId="1802" xr:uid="{00000000-0005-0000-0000-000013070000}"/>
    <cellStyle name="TEST 3 2" xfId="1803" xr:uid="{00000000-0005-0000-0000-000014070000}"/>
    <cellStyle name="TEST 3 3" xfId="1804" xr:uid="{00000000-0005-0000-0000-000015070000}"/>
    <cellStyle name="TEST 3 4" xfId="1805" xr:uid="{00000000-0005-0000-0000-000016070000}"/>
    <cellStyle name="TEST 4" xfId="1806" xr:uid="{00000000-0005-0000-0000-000017070000}"/>
    <cellStyle name="TEST 5" xfId="1807" xr:uid="{00000000-0005-0000-0000-000018070000}"/>
    <cellStyle name="TEST 6" xfId="1808" xr:uid="{00000000-0005-0000-0000-000019070000}"/>
    <cellStyle name="TEST 7" xfId="1809" xr:uid="{00000000-0005-0000-0000-00001A070000}"/>
    <cellStyle name="Text" xfId="1810" xr:uid="{00000000-0005-0000-0000-00001B070000}"/>
    <cellStyle name="text 2" xfId="1811" xr:uid="{00000000-0005-0000-0000-00001C070000}"/>
    <cellStyle name="Text Indent A" xfId="1812" xr:uid="{00000000-0005-0000-0000-00001D070000}"/>
    <cellStyle name="Text Indent B" xfId="1813" xr:uid="{00000000-0005-0000-0000-00001E070000}"/>
    <cellStyle name="Text Indent B 2" xfId="1814" xr:uid="{00000000-0005-0000-0000-00001F070000}"/>
    <cellStyle name="Text Indent C" xfId="1815" xr:uid="{00000000-0005-0000-0000-000020070000}"/>
    <cellStyle name="Text Indent C 2" xfId="1816" xr:uid="{00000000-0005-0000-0000-000021070000}"/>
    <cellStyle name="Title 2" xfId="1818" xr:uid="{00000000-0005-0000-0000-000023070000}"/>
    <cellStyle name="Title 3" xfId="1819" xr:uid="{00000000-0005-0000-0000-000024070000}"/>
    <cellStyle name="title line" xfId="1820" xr:uid="{00000000-0005-0000-0000-000025070000}"/>
    <cellStyle name="title line 2" xfId="1821" xr:uid="{00000000-0005-0000-0000-000026070000}"/>
    <cellStyle name="title line 2 2" xfId="1822" xr:uid="{00000000-0005-0000-0000-000027070000}"/>
    <cellStyle name="title line 2 3" xfId="1823" xr:uid="{00000000-0005-0000-0000-000028070000}"/>
    <cellStyle name="title line 2 4" xfId="1824" xr:uid="{00000000-0005-0000-0000-000029070000}"/>
    <cellStyle name="title line 2 5" xfId="1825" xr:uid="{00000000-0005-0000-0000-00002A070000}"/>
    <cellStyle name="title line 3" xfId="1826" xr:uid="{00000000-0005-0000-0000-00002B070000}"/>
    <cellStyle name="title line 3 2" xfId="1827" xr:uid="{00000000-0005-0000-0000-00002C070000}"/>
    <cellStyle name="title line 3 3" xfId="1828" xr:uid="{00000000-0005-0000-0000-00002D070000}"/>
    <cellStyle name="title line 3 4" xfId="1829" xr:uid="{00000000-0005-0000-0000-00002E070000}"/>
    <cellStyle name="title line 4" xfId="1830" xr:uid="{00000000-0005-0000-0000-00002F070000}"/>
    <cellStyle name="title line 5" xfId="1831" xr:uid="{00000000-0005-0000-0000-000030070000}"/>
    <cellStyle name="title line 6" xfId="1832" xr:uid="{00000000-0005-0000-0000-000031070000}"/>
    <cellStyle name="title line 7" xfId="1833" xr:uid="{00000000-0005-0000-0000-000032070000}"/>
    <cellStyle name="Total 2" xfId="1834" xr:uid="{00000000-0005-0000-0000-000033070000}"/>
    <cellStyle name="Total 2 2" xfId="1835" xr:uid="{00000000-0005-0000-0000-000034070000}"/>
    <cellStyle name="Total 2 2 2" xfId="1836" xr:uid="{00000000-0005-0000-0000-000035070000}"/>
    <cellStyle name="Total 2 2 3" xfId="1837" xr:uid="{00000000-0005-0000-0000-000036070000}"/>
    <cellStyle name="Total 2 2 4" xfId="1838" xr:uid="{00000000-0005-0000-0000-000037070000}"/>
    <cellStyle name="Total 2 2 5" xfId="1839" xr:uid="{00000000-0005-0000-0000-000038070000}"/>
    <cellStyle name="Total 2 2 6" xfId="1840" xr:uid="{00000000-0005-0000-0000-000039070000}"/>
    <cellStyle name="Total 2 2 7" xfId="1841" xr:uid="{00000000-0005-0000-0000-00003A070000}"/>
    <cellStyle name="Total 2 3" xfId="1842" xr:uid="{00000000-0005-0000-0000-00003B070000}"/>
    <cellStyle name="Total 2 4" xfId="1843" xr:uid="{00000000-0005-0000-0000-00003C070000}"/>
    <cellStyle name="Total 2 5" xfId="1844" xr:uid="{00000000-0005-0000-0000-00003D070000}"/>
    <cellStyle name="Total 2 6" xfId="1845" xr:uid="{00000000-0005-0000-0000-00003E070000}"/>
    <cellStyle name="Total 2 7" xfId="1846" xr:uid="{00000000-0005-0000-0000-00003F070000}"/>
    <cellStyle name="Total 2 8" xfId="1847" xr:uid="{00000000-0005-0000-0000-000040070000}"/>
    <cellStyle name="Total 3" xfId="1848" xr:uid="{00000000-0005-0000-0000-000041070000}"/>
    <cellStyle name="Total 3 2" xfId="1849" xr:uid="{00000000-0005-0000-0000-000042070000}"/>
    <cellStyle name="Total 3 3" xfId="1850" xr:uid="{00000000-0005-0000-0000-000043070000}"/>
    <cellStyle name="Total 3 4" xfId="1851" xr:uid="{00000000-0005-0000-0000-000044070000}"/>
    <cellStyle name="Total 3 5" xfId="1852" xr:uid="{00000000-0005-0000-0000-000045070000}"/>
    <cellStyle name="Total 3 6" xfId="1853" xr:uid="{00000000-0005-0000-0000-000046070000}"/>
    <cellStyle name="Total 3 7" xfId="1854" xr:uid="{00000000-0005-0000-0000-000047070000}"/>
    <cellStyle name="UNARIGHA" xfId="1855" xr:uid="{00000000-0005-0000-0000-000048070000}"/>
    <cellStyle name="UNARIGHA 2" xfId="1856" xr:uid="{00000000-0005-0000-0000-000049070000}"/>
    <cellStyle name="units" xfId="1857" xr:uid="{00000000-0005-0000-0000-00004A070000}"/>
    <cellStyle name="units 2" xfId="1858" xr:uid="{00000000-0005-0000-0000-00004B070000}"/>
    <cellStyle name="Valuta (0)_22002" xfId="1859" xr:uid="{00000000-0005-0000-0000-00004C070000}"/>
    <cellStyle name="Währung [0]_96_97" xfId="1860" xr:uid="{00000000-0005-0000-0000-00004D070000}"/>
    <cellStyle name="Währung_96_97" xfId="1861" xr:uid="{00000000-0005-0000-0000-00004E070000}"/>
    <cellStyle name="Warning Text 2" xfId="1862" xr:uid="{00000000-0005-0000-0000-00004F070000}"/>
    <cellStyle name="Warning Text 3" xfId="1863" xr:uid="{00000000-0005-0000-0000-000050070000}"/>
    <cellStyle name="þ_x001d_ð+&amp;„ý›&amp;}ý_x000b__x0008__x0011__x000b_å_x000b__x0007__x0001__x0001_" xfId="1817" xr:uid="{00000000-0005-0000-0000-000022070000}"/>
    <cellStyle name="標準_DOC LIST Rev.2" xfId="1864" xr:uid="{00000000-0005-0000-0000-000051070000}"/>
    <cellStyle name="通貨 [0.00]_FWBS Level 2 for Schedule" xfId="1865" xr:uid="{00000000-0005-0000-0000-000052070000}"/>
    <cellStyle name="通貨_FWBS Level 2 for Schedule" xfId="1866" xr:uid="{00000000-0005-0000-0000-00005307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3E3E3"/>
      <color rgb="FF3D3EDA"/>
      <color rgb="FFFFFF99"/>
      <color rgb="FFFFFFCC"/>
      <color rgb="FFCC24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197444850757127E-3"/>
          <c:y val="0.13122192851431022"/>
          <c:w val="0.95837420295977505"/>
          <c:h val="0.82089671291752897"/>
        </c:manualLayout>
      </c:layout>
      <c:lineChart>
        <c:grouping val="standard"/>
        <c:varyColors val="0"/>
        <c:ser>
          <c:idx val="1"/>
          <c:order val="0"/>
          <c:tx>
            <c:strRef>
              <c:f>'S-Overall'!$A$65</c:f>
              <c:strCache>
                <c:ptCount val="1"/>
                <c:pt idx="0">
                  <c:v>ACTUAL CUMMULATIVE</c:v>
                </c:pt>
              </c:strCache>
            </c:strRef>
          </c:tx>
          <c:spPr>
            <a:ln w="38100">
              <a:solidFill>
                <a:srgbClr val="000080"/>
              </a:solidFill>
              <a:prstDash val="solid"/>
            </a:ln>
          </c:spPr>
          <c:marker>
            <c:symbol val="triangle"/>
            <c:size val="9"/>
            <c:spPr>
              <a:solidFill>
                <a:srgbClr val="FFFF00"/>
              </a:solidFill>
              <a:ln>
                <a:solidFill>
                  <a:srgbClr val="FF0000"/>
                </a:solidFill>
                <a:prstDash val="solid"/>
              </a:ln>
            </c:spPr>
          </c:marker>
          <c:cat>
            <c:numRef>
              <c:f>'S-Overall'!$C$59:$X$59</c:f>
              <c:numCache>
                <c:formatCode>[$-409]d\-mmm\-yy;@</c:formatCode>
                <c:ptCount val="22"/>
                <c:pt idx="0">
                  <c:v>46113</c:v>
                </c:pt>
                <c:pt idx="1">
                  <c:v>46124</c:v>
                </c:pt>
                <c:pt idx="2">
                  <c:v>46131</c:v>
                </c:pt>
                <c:pt idx="3">
                  <c:v>46138</c:v>
                </c:pt>
                <c:pt idx="4">
                  <c:v>46145</c:v>
                </c:pt>
                <c:pt idx="5">
                  <c:v>46152</c:v>
                </c:pt>
                <c:pt idx="6">
                  <c:v>46159</c:v>
                </c:pt>
                <c:pt idx="7">
                  <c:v>46166</c:v>
                </c:pt>
                <c:pt idx="8">
                  <c:v>46173</c:v>
                </c:pt>
                <c:pt idx="9">
                  <c:v>46180</c:v>
                </c:pt>
                <c:pt idx="10">
                  <c:v>46187</c:v>
                </c:pt>
                <c:pt idx="11">
                  <c:v>46194</c:v>
                </c:pt>
                <c:pt idx="12">
                  <c:v>46201</c:v>
                </c:pt>
                <c:pt idx="13">
                  <c:v>46208</c:v>
                </c:pt>
                <c:pt idx="14">
                  <c:v>46215</c:v>
                </c:pt>
                <c:pt idx="15">
                  <c:v>46222</c:v>
                </c:pt>
                <c:pt idx="16">
                  <c:v>46229</c:v>
                </c:pt>
                <c:pt idx="17">
                  <c:v>46236</c:v>
                </c:pt>
                <c:pt idx="18">
                  <c:v>46243</c:v>
                </c:pt>
                <c:pt idx="19">
                  <c:v>46250</c:v>
                </c:pt>
                <c:pt idx="20">
                  <c:v>46257</c:v>
                </c:pt>
                <c:pt idx="21">
                  <c:v>46265</c:v>
                </c:pt>
              </c:numCache>
            </c:numRef>
          </c:cat>
          <c:val>
            <c:numRef>
              <c:f>'S-Overall'!$C$65:$X$65</c:f>
              <c:numCache>
                <c:formatCode>0.00%</c:formatCode>
                <c:ptCount val="22"/>
                <c:pt idx="0">
                  <c:v>0</c:v>
                </c:pt>
                <c:pt idx="1">
                  <c:v>0.217725</c:v>
                </c:pt>
                <c:pt idx="2">
                  <c:v>0.36179</c:v>
                </c:pt>
                <c:pt idx="3">
                  <c:v>0.41880000000000006</c:v>
                </c:pt>
                <c:pt idx="4">
                  <c:v>0.43756000000000006</c:v>
                </c:pt>
                <c:pt idx="5">
                  <c:v>0.45301000000000002</c:v>
                </c:pt>
                <c:pt idx="6">
                  <c:v>0.51260000000000006</c:v>
                </c:pt>
                <c:pt idx="7">
                  <c:v>0.52202499999999996</c:v>
                </c:pt>
                <c:pt idx="8">
                  <c:v>0.55291000000000001</c:v>
                </c:pt>
                <c:pt idx="9">
                  <c:v>0.61517500000000003</c:v>
                </c:pt>
                <c:pt idx="10">
                  <c:v>0.69548999999999994</c:v>
                </c:pt>
                <c:pt idx="11">
                  <c:v>0.77734999999999999</c:v>
                </c:pt>
                <c:pt idx="12">
                  <c:v>0.80825000000000002</c:v>
                </c:pt>
                <c:pt idx="13">
                  <c:v>0.86670000000000003</c:v>
                </c:pt>
              </c:numCache>
            </c:numRef>
          </c:val>
          <c:smooth val="0"/>
          <c:extLst>
            <c:ext xmlns:c16="http://schemas.microsoft.com/office/drawing/2014/chart" uri="{C3380CC4-5D6E-409C-BE32-E72D297353CC}">
              <c16:uniqueId val="{00000000-6C9B-4D5B-8CCF-B40A4578FEDE}"/>
            </c:ext>
          </c:extLst>
        </c:ser>
        <c:ser>
          <c:idx val="0"/>
          <c:order val="1"/>
          <c:tx>
            <c:strRef>
              <c:f>'S-Overall'!$A$67</c:f>
              <c:strCache>
                <c:ptCount val="1"/>
                <c:pt idx="0">
                  <c:v>PLAN CUMMULATIVE</c:v>
                </c:pt>
              </c:strCache>
            </c:strRef>
          </c:tx>
          <c:spPr>
            <a:ln w="50800">
              <a:solidFill>
                <a:schemeClr val="accent1"/>
              </a:solidFill>
              <a:prstDash val="sysDot"/>
            </a:ln>
          </c:spPr>
          <c:marker>
            <c:symbol val="diamond"/>
            <c:size val="7"/>
            <c:spPr>
              <a:solidFill>
                <a:srgbClr val="FFFF00"/>
              </a:solidFill>
            </c:spPr>
          </c:marker>
          <c:cat>
            <c:numRef>
              <c:f>'S-Overall'!$C$59:$X$59</c:f>
              <c:numCache>
                <c:formatCode>[$-409]d\-mmm\-yy;@</c:formatCode>
                <c:ptCount val="22"/>
                <c:pt idx="0">
                  <c:v>46113</c:v>
                </c:pt>
                <c:pt idx="1">
                  <c:v>46124</c:v>
                </c:pt>
                <c:pt idx="2">
                  <c:v>46131</c:v>
                </c:pt>
                <c:pt idx="3">
                  <c:v>46138</c:v>
                </c:pt>
                <c:pt idx="4">
                  <c:v>46145</c:v>
                </c:pt>
                <c:pt idx="5">
                  <c:v>46152</c:v>
                </c:pt>
                <c:pt idx="6">
                  <c:v>46159</c:v>
                </c:pt>
                <c:pt idx="7">
                  <c:v>46166</c:v>
                </c:pt>
                <c:pt idx="8">
                  <c:v>46173</c:v>
                </c:pt>
                <c:pt idx="9">
                  <c:v>46180</c:v>
                </c:pt>
                <c:pt idx="10">
                  <c:v>46187</c:v>
                </c:pt>
                <c:pt idx="11">
                  <c:v>46194</c:v>
                </c:pt>
                <c:pt idx="12">
                  <c:v>46201</c:v>
                </c:pt>
                <c:pt idx="13">
                  <c:v>46208</c:v>
                </c:pt>
                <c:pt idx="14">
                  <c:v>46215</c:v>
                </c:pt>
                <c:pt idx="15">
                  <c:v>46222</c:v>
                </c:pt>
                <c:pt idx="16">
                  <c:v>46229</c:v>
                </c:pt>
                <c:pt idx="17">
                  <c:v>46236</c:v>
                </c:pt>
                <c:pt idx="18">
                  <c:v>46243</c:v>
                </c:pt>
                <c:pt idx="19">
                  <c:v>46250</c:v>
                </c:pt>
                <c:pt idx="20">
                  <c:v>46257</c:v>
                </c:pt>
                <c:pt idx="21">
                  <c:v>46265</c:v>
                </c:pt>
              </c:numCache>
            </c:numRef>
          </c:cat>
          <c:val>
            <c:numRef>
              <c:f>'S-Overall'!$C$67:$AA$67</c:f>
              <c:numCache>
                <c:formatCode>0.00%</c:formatCode>
                <c:ptCount val="22"/>
                <c:pt idx="0">
                  <c:v>0</c:v>
                </c:pt>
                <c:pt idx="1">
                  <c:v>6.3355000000000009E-2</c:v>
                </c:pt>
                <c:pt idx="2">
                  <c:v>0.10044500000000001</c:v>
                </c:pt>
                <c:pt idx="3">
                  <c:v>0.17152500000000001</c:v>
                </c:pt>
                <c:pt idx="4">
                  <c:v>0.21412</c:v>
                </c:pt>
                <c:pt idx="5">
                  <c:v>0.26306999999999997</c:v>
                </c:pt>
                <c:pt idx="6">
                  <c:v>0.38564999999999999</c:v>
                </c:pt>
                <c:pt idx="7">
                  <c:v>0.47387500000000005</c:v>
                </c:pt>
                <c:pt idx="8">
                  <c:v>0.55805000000000005</c:v>
                </c:pt>
                <c:pt idx="9">
                  <c:v>0.59152500000000008</c:v>
                </c:pt>
                <c:pt idx="10">
                  <c:v>0.68731999999999993</c:v>
                </c:pt>
                <c:pt idx="11">
                  <c:v>0.74509999999999998</c:v>
                </c:pt>
                <c:pt idx="12">
                  <c:v>0.75414499999999995</c:v>
                </c:pt>
                <c:pt idx="13">
                  <c:v>0.85975000000000001</c:v>
                </c:pt>
                <c:pt idx="14">
                  <c:v>0.85975000000000001</c:v>
                </c:pt>
                <c:pt idx="15">
                  <c:v>0.91820000000000002</c:v>
                </c:pt>
                <c:pt idx="16">
                  <c:v>0.94155</c:v>
                </c:pt>
                <c:pt idx="17">
                  <c:v>1</c:v>
                </c:pt>
                <c:pt idx="18">
                  <c:v>1</c:v>
                </c:pt>
                <c:pt idx="19">
                  <c:v>1</c:v>
                </c:pt>
                <c:pt idx="20">
                  <c:v>1</c:v>
                </c:pt>
                <c:pt idx="21">
                  <c:v>1</c:v>
                </c:pt>
              </c:numCache>
            </c:numRef>
          </c:val>
          <c:smooth val="0"/>
          <c:extLst>
            <c:ext xmlns:c16="http://schemas.microsoft.com/office/drawing/2014/chart" uri="{C3380CC4-5D6E-409C-BE32-E72D297353CC}">
              <c16:uniqueId val="{00000001-6C9B-4D5B-8CCF-B40A4578FEDE}"/>
            </c:ext>
          </c:extLst>
        </c:ser>
        <c:ser>
          <c:idx val="2"/>
          <c:order val="2"/>
          <c:tx>
            <c:strRef>
              <c:f>'S-Overall'!$A$68</c:f>
              <c:strCache>
                <c:ptCount val="1"/>
                <c:pt idx="0">
                  <c:v>Recovery</c:v>
                </c:pt>
              </c:strCache>
            </c:strRef>
          </c:tx>
          <c:spPr>
            <a:ln w="57150">
              <a:prstDash val="dash"/>
            </a:ln>
          </c:spPr>
          <c:marker>
            <c:symbol val="triangle"/>
            <c:size val="11"/>
            <c:spPr>
              <a:solidFill>
                <a:schemeClr val="accent1"/>
              </a:solidFill>
              <a:ln w="57150">
                <a:prstDash val="dash"/>
              </a:ln>
            </c:spPr>
          </c:marker>
          <c:cat>
            <c:numRef>
              <c:f>'S-Overall'!$C$59:$X$59</c:f>
              <c:numCache>
                <c:formatCode>[$-409]d\-mmm\-yy;@</c:formatCode>
                <c:ptCount val="22"/>
                <c:pt idx="0">
                  <c:v>46113</c:v>
                </c:pt>
                <c:pt idx="1">
                  <c:v>46124</c:v>
                </c:pt>
                <c:pt idx="2">
                  <c:v>46131</c:v>
                </c:pt>
                <c:pt idx="3">
                  <c:v>46138</c:v>
                </c:pt>
                <c:pt idx="4">
                  <c:v>46145</c:v>
                </c:pt>
                <c:pt idx="5">
                  <c:v>46152</c:v>
                </c:pt>
                <c:pt idx="6">
                  <c:v>46159</c:v>
                </c:pt>
                <c:pt idx="7">
                  <c:v>46166</c:v>
                </c:pt>
                <c:pt idx="8">
                  <c:v>46173</c:v>
                </c:pt>
                <c:pt idx="9">
                  <c:v>46180</c:v>
                </c:pt>
                <c:pt idx="10">
                  <c:v>46187</c:v>
                </c:pt>
                <c:pt idx="11">
                  <c:v>46194</c:v>
                </c:pt>
                <c:pt idx="12">
                  <c:v>46201</c:v>
                </c:pt>
                <c:pt idx="13">
                  <c:v>46208</c:v>
                </c:pt>
                <c:pt idx="14">
                  <c:v>46215</c:v>
                </c:pt>
                <c:pt idx="15">
                  <c:v>46222</c:v>
                </c:pt>
                <c:pt idx="16">
                  <c:v>46229</c:v>
                </c:pt>
                <c:pt idx="17">
                  <c:v>46236</c:v>
                </c:pt>
                <c:pt idx="18">
                  <c:v>46243</c:v>
                </c:pt>
                <c:pt idx="19">
                  <c:v>46250</c:v>
                </c:pt>
                <c:pt idx="20">
                  <c:v>46257</c:v>
                </c:pt>
                <c:pt idx="21">
                  <c:v>46265</c:v>
                </c:pt>
              </c:numCache>
            </c:numRef>
          </c:cat>
          <c:val>
            <c:numRef>
              <c:f>'S-Overall'!$C$68:$X$68</c:f>
            </c:numRef>
          </c:val>
          <c:smooth val="0"/>
          <c:extLst>
            <c:ext xmlns:c16="http://schemas.microsoft.com/office/drawing/2014/chart" uri="{C3380CC4-5D6E-409C-BE32-E72D297353CC}">
              <c16:uniqueId val="{00000002-6C9B-4D5B-8CCF-B40A4578FEDE}"/>
            </c:ext>
          </c:extLst>
        </c:ser>
        <c:dLbls>
          <c:showLegendKey val="0"/>
          <c:showVal val="0"/>
          <c:showCatName val="0"/>
          <c:showSerName val="0"/>
          <c:showPercent val="0"/>
          <c:showBubbleSize val="0"/>
        </c:dLbls>
        <c:marker val="1"/>
        <c:smooth val="0"/>
        <c:axId val="367504984"/>
        <c:axId val="367505768"/>
      </c:lineChart>
      <c:catAx>
        <c:axId val="367504984"/>
        <c:scaling>
          <c:orientation val="minMax"/>
        </c:scaling>
        <c:delete val="0"/>
        <c:axPos val="b"/>
        <c:majorGridlines>
          <c:spPr>
            <a:ln>
              <a:solidFill>
                <a:schemeClr val="tx2">
                  <a:lumMod val="60000"/>
                  <a:lumOff val="40000"/>
                </a:schemeClr>
              </a:solidFill>
              <a:prstDash val="sysDot"/>
            </a:ln>
          </c:spPr>
        </c:majorGridlines>
        <c:numFmt formatCode="[$-409]d\-mmm\-yy;@" sourceLinked="1"/>
        <c:majorTickMark val="out"/>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Arial"/>
                <a:ea typeface="Arial"/>
                <a:cs typeface="Arial"/>
              </a:defRPr>
            </a:pPr>
            <a:endParaRPr lang="en-US"/>
          </a:p>
        </c:txPr>
        <c:crossAx val="367505768"/>
        <c:crosses val="autoZero"/>
        <c:auto val="0"/>
        <c:lblAlgn val="ctr"/>
        <c:lblOffset val="100"/>
        <c:tickLblSkip val="1"/>
        <c:tickMarkSkip val="1"/>
        <c:noMultiLvlLbl val="0"/>
      </c:catAx>
      <c:valAx>
        <c:axId val="367505768"/>
        <c:scaling>
          <c:orientation val="minMax"/>
          <c:max val="1"/>
        </c:scaling>
        <c:delete val="0"/>
        <c:axPos val="r"/>
        <c:majorGridlines>
          <c:spPr>
            <a:ln w="3175">
              <a:solidFill>
                <a:schemeClr val="tx2">
                  <a:lumMod val="40000"/>
                  <a:lumOff val="60000"/>
                </a:schemeClr>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Arial"/>
                <a:ea typeface="Arial"/>
                <a:cs typeface="Arial"/>
              </a:defRPr>
            </a:pPr>
            <a:endParaRPr lang="en-US"/>
          </a:p>
        </c:txPr>
        <c:crossAx val="367504984"/>
        <c:crosses val="max"/>
        <c:crossBetween val="between"/>
      </c:valAx>
      <c:spPr>
        <a:noFill/>
        <a:ln w="12700">
          <a:solidFill>
            <a:srgbClr val="000000"/>
          </a:solidFill>
          <a:prstDash val="solid"/>
        </a:ln>
      </c:spPr>
    </c:plotArea>
    <c:legend>
      <c:legendPos val="r"/>
      <c:layout>
        <c:manualLayout>
          <c:xMode val="edge"/>
          <c:yMode val="edge"/>
          <c:x val="0.20438381562053887"/>
          <c:y val="3.1367200247684239E-2"/>
          <c:w val="0.62537466667863784"/>
          <c:h val="4.7316726216874321E-2"/>
        </c:manualLayout>
      </c:layout>
      <c:overlay val="0"/>
      <c:spPr>
        <a:solidFill>
          <a:srgbClr val="FFFFFF"/>
        </a:solidFill>
        <a:ln w="25400">
          <a:noFill/>
        </a:ln>
      </c:spPr>
      <c:txPr>
        <a:bodyPr/>
        <a:lstStyle/>
        <a:p>
          <a:pPr>
            <a:defRPr sz="12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a:effectLst>
      <a:outerShdw dist="35921" dir="2700000" algn="br">
        <a:srgbClr val="000000"/>
      </a:outerShdw>
    </a:effectLst>
  </c:spPr>
  <c:txPr>
    <a:bodyPr/>
    <a:lstStyle/>
    <a:p>
      <a:pPr>
        <a:defRPr sz="20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paperSize="9"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141616</xdr:colOff>
      <xdr:row>1</xdr:row>
      <xdr:rowOff>45552</xdr:rowOff>
    </xdr:from>
    <xdr:to>
      <xdr:col>7</xdr:col>
      <xdr:colOff>107035</xdr:colOff>
      <xdr:row>1</xdr:row>
      <xdr:rowOff>598714</xdr:rowOff>
    </xdr:to>
    <xdr:pic>
      <xdr:nvPicPr>
        <xdr:cNvPr id="2" name="Picture 3">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0241" y="871052"/>
          <a:ext cx="2568919" cy="553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47626</xdr:colOff>
      <xdr:row>1</xdr:row>
      <xdr:rowOff>63500</xdr:rowOff>
    </xdr:from>
    <xdr:to>
      <xdr:col>13</xdr:col>
      <xdr:colOff>269876</xdr:colOff>
      <xdr:row>1</xdr:row>
      <xdr:rowOff>698500</xdr:rowOff>
    </xdr:to>
    <xdr:pic>
      <xdr:nvPicPr>
        <xdr:cNvPr id="9" name="image2.png">
          <a:extLst>
            <a:ext uri="{FF2B5EF4-FFF2-40B4-BE49-F238E27FC236}">
              <a16:creationId xmlns:a16="http://schemas.microsoft.com/office/drawing/2014/main" id="{A5B277CD-8B1F-4259-AAD5-3FB1AA790C4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9763126" y="254000"/>
          <a:ext cx="825500" cy="635000"/>
        </a:xfrm>
        <a:prstGeom prst="rect">
          <a:avLst/>
        </a:prstGeom>
        <a:ln/>
      </xdr:spPr>
    </xdr:pic>
    <xdr:clientData/>
  </xdr:twoCellAnchor>
  <xdr:twoCellAnchor editAs="oneCell">
    <xdr:from>
      <xdr:col>10</xdr:col>
      <xdr:colOff>201775</xdr:colOff>
      <xdr:row>30</xdr:row>
      <xdr:rowOff>189907</xdr:rowOff>
    </xdr:from>
    <xdr:to>
      <xdr:col>10</xdr:col>
      <xdr:colOff>1056888</xdr:colOff>
      <xdr:row>32</xdr:row>
      <xdr:rowOff>154299</xdr:rowOff>
    </xdr:to>
    <xdr:pic>
      <xdr:nvPicPr>
        <xdr:cNvPr id="3" name="Picture 3">
          <a:extLst>
            <a:ext uri="{FF2B5EF4-FFF2-40B4-BE49-F238E27FC236}">
              <a16:creationId xmlns:a16="http://schemas.microsoft.com/office/drawing/2014/main" id="{A2CB9031-8A87-2543-A41A-CD876F5E292E}"/>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l="30897" t="22564" r="32308" b="21596"/>
        <a:stretch/>
      </xdr:blipFill>
      <xdr:spPr bwMode="auto">
        <a:xfrm>
          <a:off x="8759439" y="14812711"/>
          <a:ext cx="855113" cy="735887"/>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9</xdr:col>
      <xdr:colOff>676541</xdr:colOff>
      <xdr:row>30</xdr:row>
      <xdr:rowOff>201775</xdr:rowOff>
    </xdr:from>
    <xdr:to>
      <xdr:col>9</xdr:col>
      <xdr:colOff>2017756</xdr:colOff>
      <xdr:row>32</xdr:row>
      <xdr:rowOff>170401</xdr:rowOff>
    </xdr:to>
    <xdr:pic>
      <xdr:nvPicPr>
        <xdr:cNvPr id="4" name="Gambar 3">
          <a:extLst>
            <a:ext uri="{FF2B5EF4-FFF2-40B4-BE49-F238E27FC236}">
              <a16:creationId xmlns:a16="http://schemas.microsoft.com/office/drawing/2014/main" id="{35C20ECC-407D-B640-4155-538BB6F3A18D}"/>
            </a:ext>
          </a:extLst>
        </xdr:cNvPr>
        <xdr:cNvPicPr>
          <a:picLocks noChangeAspect="1"/>
        </xdr:cNvPicPr>
      </xdr:nvPicPr>
      <xdr:blipFill>
        <a:blip xmlns:r="http://schemas.openxmlformats.org/officeDocument/2006/relationships" r:embed="rId4"/>
        <a:stretch>
          <a:fillRect/>
        </a:stretch>
      </xdr:blipFill>
      <xdr:spPr>
        <a:xfrm>
          <a:off x="6171962" y="14824579"/>
          <a:ext cx="1341215" cy="740121"/>
        </a:xfrm>
        <a:prstGeom prst="rect">
          <a:avLst/>
        </a:prstGeom>
      </xdr:spPr>
    </xdr:pic>
    <xdr:clientData/>
  </xdr:twoCellAnchor>
  <xdr:twoCellAnchor editAs="oneCell">
    <xdr:from>
      <xdr:col>7</xdr:col>
      <xdr:colOff>379812</xdr:colOff>
      <xdr:row>30</xdr:row>
      <xdr:rowOff>178037</xdr:rowOff>
    </xdr:from>
    <xdr:to>
      <xdr:col>8</xdr:col>
      <xdr:colOff>106464</xdr:colOff>
      <xdr:row>32</xdr:row>
      <xdr:rowOff>59345</xdr:rowOff>
    </xdr:to>
    <xdr:pic>
      <xdr:nvPicPr>
        <xdr:cNvPr id="10" name="Gambar 9">
          <a:extLst>
            <a:ext uri="{FF2B5EF4-FFF2-40B4-BE49-F238E27FC236}">
              <a16:creationId xmlns:a16="http://schemas.microsoft.com/office/drawing/2014/main" id="{826D559C-8CBD-4965-BA2F-AAA617EF08F6}"/>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aturation sat="0"/>
                  </a14:imgEffect>
                </a14:imgLayer>
              </a14:imgProps>
            </a:ext>
          </a:extLst>
        </a:blip>
        <a:stretch>
          <a:fillRect/>
        </a:stretch>
      </xdr:blipFill>
      <xdr:spPr>
        <a:xfrm>
          <a:off x="3643831" y="14800841"/>
          <a:ext cx="759269" cy="652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288635</xdr:colOff>
      <xdr:row>1</xdr:row>
      <xdr:rowOff>242452</xdr:rowOff>
    </xdr:from>
    <xdr:to>
      <xdr:col>3</xdr:col>
      <xdr:colOff>567761</xdr:colOff>
      <xdr:row>3</xdr:row>
      <xdr:rowOff>253996</xdr:rowOff>
    </xdr:to>
    <xdr:pic>
      <xdr:nvPicPr>
        <xdr:cNvPr id="3" name="Picture 3">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635" y="496452"/>
          <a:ext cx="2426581" cy="519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217714</xdr:colOff>
      <xdr:row>1</xdr:row>
      <xdr:rowOff>18142</xdr:rowOff>
    </xdr:from>
    <xdr:to>
      <xdr:col>3</xdr:col>
      <xdr:colOff>603580</xdr:colOff>
      <xdr:row>3</xdr:row>
      <xdr:rowOff>146297</xdr:rowOff>
    </xdr:to>
    <xdr:pic>
      <xdr:nvPicPr>
        <xdr:cNvPr id="3" name="Picture 3">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714" y="272142"/>
          <a:ext cx="2971223" cy="636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69274</xdr:colOff>
      <xdr:row>2</xdr:row>
      <xdr:rowOff>11547</xdr:rowOff>
    </xdr:from>
    <xdr:to>
      <xdr:col>2</xdr:col>
      <xdr:colOff>1270001</xdr:colOff>
      <xdr:row>4</xdr:row>
      <xdr:rowOff>25839</xdr:rowOff>
    </xdr:to>
    <xdr:pic>
      <xdr:nvPicPr>
        <xdr:cNvPr id="3" name="Picture 3">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74" y="519547"/>
          <a:ext cx="2193636" cy="522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sp macro="" textlink="">
      <xdr:nvSpPr>
        <xdr:cNvPr id="2" name="Text 7">
          <a:extLst>
            <a:ext uri="{FF2B5EF4-FFF2-40B4-BE49-F238E27FC236}">
              <a16:creationId xmlns:a16="http://schemas.microsoft.com/office/drawing/2014/main" id="{00000000-0008-0000-0B00-000002000000}"/>
            </a:ext>
          </a:extLst>
        </xdr:cNvPr>
        <xdr:cNvSpPr txBox="1">
          <a:spLocks noChangeArrowheads="1"/>
        </xdr:cNvSpPr>
      </xdr:nvSpPr>
      <xdr:spPr bwMode="auto">
        <a:xfrm>
          <a:off x="8724900" y="0"/>
          <a:ext cx="21936075" cy="0"/>
        </a:xfrm>
        <a:prstGeom prst="rect">
          <a:avLst/>
        </a:prstGeom>
        <a:solidFill>
          <a:srgbClr val="FFFFFF"/>
        </a:solidFill>
        <a:ln w="1">
          <a:noFill/>
          <a:miter lim="800000"/>
          <a:headEnd/>
          <a:tailEnd/>
        </a:ln>
      </xdr:spPr>
      <xdr:txBody>
        <a:bodyPr vertOverflow="clip" wrap="square" lIns="54864" tIns="41148" rIns="54864" bIns="41148" anchor="ctr" upright="1"/>
        <a:lstStyle/>
        <a:p>
          <a:pPr algn="ctr" rtl="0">
            <a:defRPr sz="1000"/>
          </a:pPr>
          <a:r>
            <a:rPr lang="en-US" sz="2400" b="1" i="0" strike="noStrike">
              <a:solidFill>
                <a:srgbClr val="000000"/>
              </a:solidFill>
              <a:latin typeface="Arial"/>
              <a:cs typeface="Arial"/>
            </a:rPr>
            <a:t>ENGINEERING PROGRESS S-CURVE</a:t>
          </a:r>
        </a:p>
      </xdr:txBody>
    </xdr:sp>
    <xdr:clientData/>
  </xdr:twoCellAnchor>
  <xdr:twoCellAnchor>
    <xdr:from>
      <xdr:col>1</xdr:col>
      <xdr:colOff>42334</xdr:colOff>
      <xdr:row>10</xdr:row>
      <xdr:rowOff>4136</xdr:rowOff>
    </xdr:from>
    <xdr:to>
      <xdr:col>23</xdr:col>
      <xdr:colOff>2235200</xdr:colOff>
      <xdr:row>55</xdr:row>
      <xdr:rowOff>140758</xdr:rowOff>
    </xdr:to>
    <xdr:graphicFrame macro="">
      <xdr:nvGraphicFramePr>
        <xdr:cNvPr id="4456019" name="Chart 3">
          <a:extLst>
            <a:ext uri="{FF2B5EF4-FFF2-40B4-BE49-F238E27FC236}">
              <a16:creationId xmlns:a16="http://schemas.microsoft.com/office/drawing/2014/main" id="{00000000-0008-0000-0B00-000053FE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142876</xdr:colOff>
      <xdr:row>2</xdr:row>
      <xdr:rowOff>15877</xdr:rowOff>
    </xdr:from>
    <xdr:to>
      <xdr:col>2</xdr:col>
      <xdr:colOff>1174750</xdr:colOff>
      <xdr:row>3</xdr:row>
      <xdr:rowOff>245683</xdr:rowOff>
    </xdr:to>
    <xdr:pic>
      <xdr:nvPicPr>
        <xdr:cNvPr id="3" name="Picture 3">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6" y="523877"/>
          <a:ext cx="2031999" cy="4838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65</xdr:col>
      <xdr:colOff>460193</xdr:colOff>
      <xdr:row>2</xdr:row>
      <xdr:rowOff>149678</xdr:rowOff>
    </xdr:from>
    <xdr:to>
      <xdr:col>65</xdr:col>
      <xdr:colOff>473801</xdr:colOff>
      <xdr:row>3</xdr:row>
      <xdr:rowOff>264980</xdr:rowOff>
    </xdr:to>
    <xdr:cxnSp macro="">
      <xdr:nvCxnSpPr>
        <xdr:cNvPr id="2" name="Straight Arrow Connector 3">
          <a:extLst>
            <a:ext uri="{FF2B5EF4-FFF2-40B4-BE49-F238E27FC236}">
              <a16:creationId xmlns:a16="http://schemas.microsoft.com/office/drawing/2014/main" id="{74BDD2C7-C0D1-C548-B0CD-DD5C963E73B8}"/>
            </a:ext>
          </a:extLst>
        </xdr:cNvPr>
        <xdr:cNvCxnSpPr/>
      </xdr:nvCxnSpPr>
      <xdr:spPr>
        <a:xfrm rot="16200000" flipH="1">
          <a:off x="119903646" y="860925"/>
          <a:ext cx="496302" cy="13608"/>
        </a:xfrm>
        <a:prstGeom prst="straightConnector1">
          <a:avLst/>
        </a:prstGeom>
        <a:ln w="762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67236</xdr:colOff>
      <xdr:row>1</xdr:row>
      <xdr:rowOff>246530</xdr:rowOff>
    </xdr:from>
    <xdr:to>
      <xdr:col>2</xdr:col>
      <xdr:colOff>1225177</xdr:colOff>
      <xdr:row>3</xdr:row>
      <xdr:rowOff>250796</xdr:rowOff>
    </xdr:to>
    <xdr:pic>
      <xdr:nvPicPr>
        <xdr:cNvPr id="3" name="Picture 3">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36" y="500530"/>
          <a:ext cx="2151529" cy="512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113633</xdr:colOff>
      <xdr:row>1</xdr:row>
      <xdr:rowOff>109454</xdr:rowOff>
    </xdr:from>
    <xdr:to>
      <xdr:col>3</xdr:col>
      <xdr:colOff>718556</xdr:colOff>
      <xdr:row>4</xdr:row>
      <xdr:rowOff>116973</xdr:rowOff>
    </xdr:to>
    <xdr:pic>
      <xdr:nvPicPr>
        <xdr:cNvPr id="3" name="Picture 3">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33" y="360112"/>
          <a:ext cx="2660318" cy="759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67236</xdr:colOff>
      <xdr:row>1</xdr:row>
      <xdr:rowOff>246530</xdr:rowOff>
    </xdr:from>
    <xdr:to>
      <xdr:col>2</xdr:col>
      <xdr:colOff>666377</xdr:colOff>
      <xdr:row>5</xdr:row>
      <xdr:rowOff>22196</xdr:rowOff>
    </xdr:to>
    <xdr:pic>
      <xdr:nvPicPr>
        <xdr:cNvPr id="2" name="Picture 3">
          <a:extLst>
            <a:ext uri="{FF2B5EF4-FFF2-40B4-BE49-F238E27FC236}">
              <a16:creationId xmlns:a16="http://schemas.microsoft.com/office/drawing/2014/main" id="{1205CB8C-11CE-E44E-9497-588B82A9EB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36" y="500530"/>
          <a:ext cx="2250141" cy="512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113633</xdr:colOff>
      <xdr:row>1</xdr:row>
      <xdr:rowOff>109454</xdr:rowOff>
    </xdr:from>
    <xdr:to>
      <xdr:col>3</xdr:col>
      <xdr:colOff>58156</xdr:colOff>
      <xdr:row>6</xdr:row>
      <xdr:rowOff>53473</xdr:rowOff>
    </xdr:to>
    <xdr:pic>
      <xdr:nvPicPr>
        <xdr:cNvPr id="2" name="Picture 3">
          <a:extLst>
            <a:ext uri="{FF2B5EF4-FFF2-40B4-BE49-F238E27FC236}">
              <a16:creationId xmlns:a16="http://schemas.microsoft.com/office/drawing/2014/main" id="{D4FD82B3-517D-5E43-B2FD-0A95DDD489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33" y="363454"/>
          <a:ext cx="2979823" cy="7695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177800</xdr:colOff>
      <xdr:row>10</xdr:row>
      <xdr:rowOff>63500</xdr:rowOff>
    </xdr:from>
    <xdr:to>
      <xdr:col>11</xdr:col>
      <xdr:colOff>393700</xdr:colOff>
      <xdr:row>10</xdr:row>
      <xdr:rowOff>3149600</xdr:rowOff>
    </xdr:to>
    <xdr:pic>
      <xdr:nvPicPr>
        <xdr:cNvPr id="3" name="Gambar 2">
          <a:extLst>
            <a:ext uri="{FF2B5EF4-FFF2-40B4-BE49-F238E27FC236}">
              <a16:creationId xmlns:a16="http://schemas.microsoft.com/office/drawing/2014/main" id="{F83548DC-E6A5-B055-146E-A189354EA49E}"/>
            </a:ext>
          </a:extLst>
        </xdr:cNvPr>
        <xdr:cNvPicPr>
          <a:picLocks noChangeAspect="1"/>
        </xdr:cNvPicPr>
      </xdr:nvPicPr>
      <xdr:blipFill>
        <a:blip xmlns:r="http://schemas.openxmlformats.org/officeDocument/2006/relationships" r:embed="rId2"/>
        <a:stretch>
          <a:fillRect/>
        </a:stretch>
      </xdr:blipFill>
      <xdr:spPr>
        <a:xfrm>
          <a:off x="4864100" y="2184400"/>
          <a:ext cx="5168900" cy="3086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atang/johan/9259/Commercial/Mechanical/Mechanic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y%20Documents/DaftarPeserta%20DonorDara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FIRMAN/Bidding/Total/GTS%20I,%20K,%20M/MTO-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b-1/4155/Instrument%20data/Working/Data%20sheets/0025-PRESSURE%20SWITCH/AD106-IN-DAT-0025%20REV-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Estimates/Oil%20Gas%20&amp;%20Chemicals/Work%20Shop/8707%20UN74%20DEPITCHER-AS%20SOLD%20Rev1b.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00864300/218/COSTS/OPTIONS/8643_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sm-04/EMP%20Kangean/Documents%20and%20Settings/cosmass/Local%20Settings/Temporary%20Internet%20Files/OLK8/M08_2001x.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pc-46/Report/File%20IBRD/Data/Rab/RAB%20IBRD%2005C5%20Eva%201769%20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FIRMAN/Bidding/Total/PECIKO%20-%20PHASE%203/MTO-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PROJSTOR/DATA/Jose%20Laranjo/LOCAL/Sasol%20Secunda/ALCHOHOL%20DEHY%20866800%20rev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h/electrical/ELECTRIC/FEED/G-CABSCH/CBLLIS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2704-BP%20Blanket/4.%20W.O/WO%20%23252%20Infill%20Well%202009%20-%20Site%20Survey%20to%209%20Platforms/WO%20%23252%20Infill%20Well%202009%20-%20Site%20Survey%20to%2010%20Platforms%20Re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oject01/Cilegon%20CCPP/RKP/File%20IBRD/Schedule/Schedule%20Intern%20Rev%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www.Project/3452C-TrakindoKualaKencana/CostControl/12-DEC01/Ccs001-CommCost%2012-2001-00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06%20TEMP/BackUp%20Pub_Data/Project%20Control/Progress/WO%20Progress%20Summary%20STC%20-%2002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ML"/>
      <sheetName val="INSSUBCON"/>
      <sheetName val="PIPINS-DBASE"/>
      <sheetName val="RECOMINS-perUnit"/>
      <sheetName val="PAINTSUMMARY"/>
      <sheetName val="PaintBreak"/>
      <sheetName val="EQPT-CONSTRUCTION"/>
      <sheetName val="Attach C-3"/>
      <sheetName val="SCHEDULE -1"/>
      <sheetName val="SCHEDULE - 2"/>
      <sheetName val="SCHEDULE - 3"/>
      <sheetName val="SCHEDULE - 4"/>
      <sheetName val="SCHEDULE - 5"/>
      <sheetName val="SCHEDULE -6"/>
      <sheetName val="SCHEDULE -8"/>
      <sheetName val="BQ (2)"/>
      <sheetName val="Sheet3"/>
      <sheetName val="SILICATE"/>
      <sheetName val="P3"/>
      <sheetName val="COST SUMM"/>
      <sheetName val="Sheet1"/>
      <sheetName val="BAG-2"/>
      <sheetName val="Compare"/>
      <sheetName val="slab"/>
      <sheetName val="Analisa"/>
      <sheetName val="合成単価作成表-BLDG"/>
      <sheetName val="Conn. Lib"/>
      <sheetName val="Conveyors"/>
      <sheetName val="12CGOU"/>
      <sheetName val="Cost"/>
      <sheetName val="Pipe-EqpProgress"/>
      <sheetName val="Matr'l"/>
      <sheetName val="Equip. Sch"/>
      <sheetName val="Labor"/>
      <sheetName val="HRG BHN"/>
      <sheetName val="Personnel"/>
      <sheetName val="SPV &amp; CE List"/>
      <sheetName val="XL4Poppy"/>
      <sheetName val="Cover"/>
      <sheetName val="worksheet"/>
      <sheetName val="HVAC"/>
      <sheetName val="tra-vat-lieu"/>
      <sheetName val="산근"/>
      <sheetName val="prog-C1"/>
      <sheetName val="geo-C1"/>
      <sheetName val="geo-C2"/>
      <sheetName val="RFP009"/>
      <sheetName val="name"/>
      <sheetName val="Job Description"/>
      <sheetName val="data"/>
      <sheetName val="Dashboardrev"/>
      <sheetName val="SAP"/>
      <sheetName val="CIR. BIN HOPPER CAP."/>
      <sheetName val="Kuan&amp;Har(PT)"/>
      <sheetName val="Alat"/>
      <sheetName val="Basic"/>
      <sheetName val="L-TIGA"/>
      <sheetName val="Calculations"/>
      <sheetName val="Chemreq"/>
      <sheetName val="FEB06"/>
      <sheetName val="JANUARI05"/>
      <sheetName val="JANUARI06"/>
      <sheetName val="BQ䀠(2)"/>
      <sheetName val="DropdownList"/>
      <sheetName val="escon"/>
      <sheetName val="struktur"/>
      <sheetName val="4-MVAC"/>
      <sheetName val="DivVII"/>
      <sheetName val="HS-1"/>
      <sheetName val="jobhist"/>
      <sheetName val="UshDeb00"/>
      <sheetName val="대비표"/>
      <sheetName val="자바라1"/>
      <sheetName val="#REF"/>
      <sheetName val="해외 연수비용 계산-삭제"/>
      <sheetName val="Mechanical"/>
      <sheetName val="해외 기술훈련비 (합계)"/>
      <sheetName val="harsat"/>
      <sheetName val="terdistribusi"/>
      <sheetName val="bahan+upah"/>
      <sheetName val="beton"/>
      <sheetName val="sanitasi"/>
      <sheetName val="HARGA ALAT"/>
      <sheetName val="UMUM"/>
      <sheetName val="AC"/>
      <sheetName val="Identitas"/>
      <sheetName val="9E1.3"/>
      <sheetName val="Memb Schd"/>
      <sheetName val="KPC"/>
      <sheetName val="CEPU"/>
      <sheetName val="MACROS"/>
      <sheetName val="datasht"/>
      <sheetName val="CALCULS"/>
      <sheetName val="Attach_C-3"/>
      <sheetName val="SCHEDULE_-1"/>
      <sheetName val="SCHEDULE_-_2"/>
      <sheetName val="SCHEDULE_-_3"/>
      <sheetName val="SCHEDULE_-_4"/>
      <sheetName val="SCHEDULE_-_5"/>
      <sheetName val="SCHEDULE_-6"/>
      <sheetName val="SCHEDULE_-8"/>
      <sheetName val="BQ_(2)"/>
      <sheetName val="COST_SUMM"/>
      <sheetName val="Conn__Lib"/>
      <sheetName val="Equip__Sch"/>
      <sheetName val="HRG_BHN"/>
      <sheetName val="SPV_&amp;_CE_List"/>
      <sheetName val="Job_Description"/>
      <sheetName val="Currency Rate"/>
      <sheetName val="X359-A01"/>
      <sheetName val="New Sheet"/>
      <sheetName val="VOID"/>
      <sheetName val="Breakdown"/>
      <sheetName val="LumpSum Split"/>
      <sheetName val="Weightage (2)"/>
      <sheetName val="WSS-O"/>
      <sheetName val="Summary"/>
      <sheetName val="Data S-curve"/>
      <sheetName val="Prog Calc"/>
      <sheetName val="Progress"/>
      <sheetName val="S-curve"/>
      <sheetName val="S-curve Monthly"/>
      <sheetName val="01_Eng"/>
      <sheetName val="02_Procurement"/>
      <sheetName val="03_Fabrication"/>
      <sheetName val="04_Install"/>
      <sheetName val="Daf-Harga"/>
      <sheetName val="RT13526 CPI"/>
      <sheetName val="U&amp;B"/>
      <sheetName val="Proj Cost Sumry"/>
      <sheetName val="ADDENDUM"/>
      <sheetName val="PP-8000AB"/>
      <sheetName val="REFTABLE"/>
      <sheetName val="NAMES"/>
      <sheetName val="Job Data"/>
      <sheetName val="FORM 3A"/>
      <sheetName val="Page 1"/>
      <sheetName val="INST#512768"/>
      <sheetName val="INSTRUM SUMM (2)"/>
      <sheetName val="Reference"/>
      <sheetName val="AIR COMP#522254"/>
      <sheetName val="A-INSTRU 5S"/>
      <sheetName val="blowdown CDGT #396932"/>
      <sheetName val="5T DRAIN"/>
      <sheetName val="Gas Pilot-ZEF "/>
      <sheetName val="Account_Code"/>
      <sheetName val="HRSG#5 375340"/>
      <sheetName val="HUFF &amp; PUFF"/>
      <sheetName val="BAHAN"/>
      <sheetName val="UPAH"/>
      <sheetName val="R_L"/>
      <sheetName val="Neraca"/>
      <sheetName val="INPUT DATA"/>
      <sheetName val="%Progress Tabel"/>
      <sheetName val="Value Prog Tabel "/>
      <sheetName val="IS"/>
      <sheetName val="PL 11"/>
      <sheetName val="inf.bs 11"/>
      <sheetName val="C.1 CASH"/>
      <sheetName val="EE-PROP"/>
      <sheetName val="PLL"/>
      <sheetName val="PP"/>
      <sheetName val="GeneralInfo"/>
      <sheetName val="Annual-Plan-1998-A-US$-Rupiah-F"/>
      <sheetName val="jpr"/>
      <sheetName val="Price"/>
      <sheetName val="List"/>
      <sheetName val="Concrete"/>
      <sheetName val="CRA_Detail"/>
      <sheetName val="drop down list"/>
      <sheetName val="Notes"/>
      <sheetName val="연돌일위집계"/>
      <sheetName val="東亜"/>
      <sheetName val="OUTPUT"/>
      <sheetName val="351BQMCN"/>
      <sheetName val="N-AC"/>
      <sheetName val="Data basic price jgan diprint"/>
      <sheetName val="Attach_C-31"/>
      <sheetName val="SCHEDULE_-11"/>
      <sheetName val="SCHEDULE_-_21"/>
      <sheetName val="SCHEDULE_-_31"/>
      <sheetName val="SCHEDULE_-_41"/>
      <sheetName val="SCHEDULE_-_51"/>
      <sheetName val="SCHEDULE_-61"/>
      <sheetName val="SCHEDULE_-81"/>
      <sheetName val="BQ_(2)1"/>
      <sheetName val="COST_SUMM1"/>
      <sheetName val="Conn__Lib1"/>
      <sheetName val="Equip__Sch1"/>
      <sheetName val="SPV_&amp;_CE_List1"/>
      <sheetName val="Job_Description1"/>
      <sheetName val="HRG_BHN1"/>
      <sheetName val="해외_연수비용_계산-삭제"/>
      <sheetName val="해외_기술훈련비_(합계)"/>
      <sheetName val="Pipe and Shell"/>
      <sheetName val="Nozzle"/>
      <sheetName val="LINE"/>
      <sheetName val="Ex-Rate"/>
      <sheetName val="TEKNIS"/>
      <sheetName val="Monitoring Kontrak"/>
      <sheetName val="HargaBahan"/>
      <sheetName val="6"/>
      <sheetName val="DPKlah"/>
      <sheetName val="M 11"/>
      <sheetName val="Cost Center"/>
      <sheetName val="Data_List"/>
      <sheetName val="Steel-Twr"/>
      <sheetName val="IPL_SCHEDULE"/>
      <sheetName val="Instrument"/>
      <sheetName val="Utility and Fire flange"/>
      <sheetName val="RAB"/>
      <sheetName val="anal rab"/>
      <sheetName val="TRANS"/>
      <sheetName val="Material"/>
      <sheetName val="Project_P"/>
      <sheetName val="304_06"/>
      <sheetName val="SPEC"/>
      <sheetName val="Rekap"/>
      <sheetName val="HB "/>
      <sheetName val="Harga Dasar"/>
      <sheetName val="D-3 (M)"/>
      <sheetName val="D-7 (M)"/>
      <sheetName val="DIV.3"/>
      <sheetName val="INF"/>
      <sheetName val="Har Sat"/>
      <sheetName val="DAF-2"/>
      <sheetName val="TTL"/>
      <sheetName val="Peralatan"/>
    </sheetNames>
    <sheetDataSet>
      <sheetData sheetId="0" refreshError="1"/>
      <sheetData sheetId="1" refreshError="1">
        <row r="55">
          <cell r="K55">
            <v>4.9430877165682814</v>
          </cell>
        </row>
        <row r="57">
          <cell r="D57">
            <v>7800</v>
          </cell>
        </row>
      </sheetData>
      <sheetData sheetId="2"/>
      <sheetData sheetId="3"/>
      <sheetData sheetId="4"/>
      <sheetData sheetId="5" refreshError="1">
        <row r="55">
          <cell r="K55">
            <v>4.9430877165682814</v>
          </cell>
          <cell r="L55">
            <v>16.80649823633216</v>
          </cell>
          <cell r="M55">
            <v>2.9658526299409691</v>
          </cell>
        </row>
        <row r="56">
          <cell r="K56">
            <v>10.302584587050932</v>
          </cell>
          <cell r="L56">
            <v>32.312651659387015</v>
          </cell>
          <cell r="M56">
            <v>4.2146936947026541</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row r="57">
          <cell r="D57">
            <v>0</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Sheet2"/>
      <sheetName val="Sheet3"/>
      <sheetName val="#REF"/>
      <sheetName val="INSSUBCON"/>
      <sheetName val="PaintBreak"/>
      <sheetName val="Eng_Hrs (HO)"/>
      <sheetName val="Sum"/>
      <sheetName val="Conveyors"/>
      <sheetName val="RFP003D"/>
      <sheetName val="Progress Input"/>
      <sheetName val="CALC"/>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MAN HOURS"/>
      <sheetName val="SUMMARY"/>
      <sheetName val="GTS I"/>
      <sheetName val="GTS K"/>
      <sheetName val="GTS M"/>
      <sheetName val="GTS R+X"/>
      <sheetName val="I-002-C"/>
      <sheetName val="I-003-C"/>
      <sheetName val="I-004-C"/>
      <sheetName val="K-002-C"/>
      <sheetName val="K-003-C"/>
      <sheetName val="K-004-C"/>
      <sheetName val="M-002-C"/>
      <sheetName val="M-003-C"/>
      <sheetName val="M-004-C"/>
      <sheetName val="GTS I PS"/>
      <sheetName val="GTS K PS"/>
      <sheetName val="GTS L PS"/>
      <sheetName val="GTS M PS"/>
      <sheetName val="GTS R PS"/>
      <sheetName val="GTS X PS"/>
      <sheetName val="SUMMARY PS"/>
      <sheetName val="PaintBreak"/>
      <sheetName val="Eng_Hrs (HO)"/>
      <sheetName val="WPSR"/>
      <sheetName val="Major Accomplishment"/>
      <sheetName val="PM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EV.C"/>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del-EBIT"/>
      <sheetName val="PropSum"/>
      <sheetName val="Eng_Hrs (HO)"/>
      <sheetName val="Eng_Hrs (SO)"/>
      <sheetName val="Add Eng Allow (HO)"/>
      <sheetName val="Con_Hrs"/>
      <sheetName val="Software"/>
      <sheetName val="Disb_HO"/>
      <sheetName val="Disb_CM"/>
      <sheetName val="OrgRates2000"/>
      <sheetName val="OrgRates1999"/>
      <sheetName val="BillingRATES"/>
      <sheetName val="Eng_Exp"/>
      <sheetName val="MHRS"/>
      <sheetName val="Conveyors"/>
      <sheetName val="Harsat"/>
      <sheetName val="BAG-2"/>
      <sheetName val="Personnel"/>
      <sheetName val="合成単価作成表-BLDG"/>
      <sheetName val="Progress Input"/>
      <sheetName val="SILICATE"/>
      <sheetName val="PO Status - r1 procurement"/>
      <sheetName val="GTS I 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rea"/>
      <sheetName val="Signet old"/>
      <sheetName val="Signet 98-08-07"/>
      <sheetName val="Struct Steel"/>
      <sheetName val="Platework"/>
      <sheetName val="Conveyors"/>
      <sheetName val="Mechanical"/>
      <sheetName val="Cranes"/>
      <sheetName val="Pumps"/>
      <sheetName val="Consumables"/>
      <sheetName val="Cashflow"/>
      <sheetName val="Eng_Hrs (HO)"/>
      <sheetName val="Personnel"/>
      <sheetName val="BAG-2"/>
      <sheetName val="Direct"/>
      <sheetName val="Office expenses"/>
      <sheetName val="Basis"/>
      <sheetName val="Cost"/>
      <sheetName val="GS, FA, PA, OSA"/>
      <sheetName val="Personnel Insr"/>
      <sheetName val="PaintBreak"/>
      <sheetName val="INSSUBCON"/>
      <sheetName val="Progress Input"/>
      <sheetName val="LV-MOTOR"/>
      <sheetName val="Settings"/>
    </sheetNames>
    <sheetDataSet>
      <sheetData sheetId="0" refreshError="1"/>
      <sheetData sheetId="1"/>
      <sheetData sheetId="2" refreshError="1"/>
      <sheetData sheetId="3" refreshError="1"/>
      <sheetData sheetId="4" refreshError="1"/>
      <sheetData sheetId="5" refreshError="1"/>
      <sheetData sheetId="6" refreshError="1">
        <row r="7">
          <cell r="A7" t="str">
            <v>05CVR001</v>
          </cell>
          <cell r="B7" t="str">
            <v>PLANT FEED CONVEYOR</v>
          </cell>
          <cell r="C7">
            <v>1</v>
          </cell>
          <cell r="D7" t="str">
            <v>N-S</v>
          </cell>
          <cell r="F7" t="str">
            <v>gravity</v>
          </cell>
          <cell r="G7">
            <v>191.5</v>
          </cell>
          <cell r="H7">
            <v>24.2</v>
          </cell>
          <cell r="J7">
            <v>2163.5</v>
          </cell>
          <cell r="K7">
            <v>2163.5</v>
          </cell>
          <cell r="L7">
            <v>2500</v>
          </cell>
          <cell r="M7" t="str">
            <v>-250+0</v>
          </cell>
          <cell r="N7">
            <v>1.6</v>
          </cell>
          <cell r="O7">
            <v>8</v>
          </cell>
          <cell r="P7">
            <v>1350</v>
          </cell>
          <cell r="Q7">
            <v>3</v>
          </cell>
          <cell r="S7" t="str">
            <v>2 x 185</v>
          </cell>
        </row>
        <row r="8">
          <cell r="A8" t="str">
            <v>05FDA001,2</v>
          </cell>
          <cell r="B8" t="str">
            <v>STOCKPILE  RECLAIM FEEDER - each for full tonnage</v>
          </cell>
          <cell r="C8">
            <v>2</v>
          </cell>
          <cell r="E8" t="str">
            <v>apron feeder</v>
          </cell>
          <cell r="F8" t="str">
            <v>tail screw</v>
          </cell>
          <cell r="G8">
            <v>9</v>
          </cell>
          <cell r="H8">
            <v>0</v>
          </cell>
          <cell r="J8">
            <v>890</v>
          </cell>
          <cell r="K8">
            <v>890</v>
          </cell>
          <cell r="L8" t="str">
            <v>300-1100</v>
          </cell>
          <cell r="M8" t="str">
            <v>-250+0</v>
          </cell>
          <cell r="N8">
            <v>1.6</v>
          </cell>
          <cell r="O8">
            <v>10</v>
          </cell>
          <cell r="P8">
            <v>2000</v>
          </cell>
          <cell r="Q8" t="str">
            <v>0.07 - 0.24</v>
          </cell>
          <cell r="R8" t="str">
            <v>yes</v>
          </cell>
          <cell r="S8" t="str">
            <v>by apron fdr vendor</v>
          </cell>
        </row>
        <row r="9">
          <cell r="A9" t="str">
            <v>05ZZZ999</v>
          </cell>
          <cell r="B9" t="str">
            <v>AREA SUBTOTAL</v>
          </cell>
        </row>
        <row r="10">
          <cell r="A10" t="str">
            <v>10AAA000</v>
          </cell>
          <cell r="B10" t="str">
            <v>AREA 10 : SCRUBBING</v>
          </cell>
        </row>
        <row r="11">
          <cell r="A11" t="str">
            <v>10CVR002</v>
          </cell>
          <cell r="B11" t="str">
            <v>TROMMEL OVERSIZE CONVEYOR</v>
          </cell>
          <cell r="C11">
            <v>1</v>
          </cell>
          <cell r="F11" t="str">
            <v>tail screw</v>
          </cell>
          <cell r="G11">
            <v>10</v>
          </cell>
          <cell r="H11">
            <v>0</v>
          </cell>
          <cell r="J11">
            <v>578.4</v>
          </cell>
          <cell r="K11">
            <v>578.4</v>
          </cell>
          <cell r="L11">
            <v>690</v>
          </cell>
          <cell r="M11" t="str">
            <v>-250+75</v>
          </cell>
          <cell r="N11">
            <v>1.6</v>
          </cell>
          <cell r="O11">
            <v>0.8</v>
          </cell>
          <cell r="P11">
            <v>900</v>
          </cell>
          <cell r="Q11">
            <v>1.8</v>
          </cell>
          <cell r="S11">
            <v>11</v>
          </cell>
        </row>
        <row r="12">
          <cell r="A12" t="str">
            <v>10CVR003</v>
          </cell>
          <cell r="B12" t="str">
            <v>SCREENED PRODUCT CONVEYOR</v>
          </cell>
          <cell r="C12">
            <v>1</v>
          </cell>
          <cell r="D12" t="str">
            <v>E-W</v>
          </cell>
          <cell r="F12" t="str">
            <v>gravity</v>
          </cell>
          <cell r="G12">
            <v>170</v>
          </cell>
          <cell r="H12">
            <v>24</v>
          </cell>
          <cell r="J12">
            <v>1247.5999999999999</v>
          </cell>
          <cell r="K12">
            <v>1247.5999999999999</v>
          </cell>
          <cell r="L12">
            <v>1500</v>
          </cell>
          <cell r="M12" t="str">
            <v>-32+0</v>
          </cell>
          <cell r="N12">
            <v>1.6</v>
          </cell>
          <cell r="O12">
            <v>5.9</v>
          </cell>
          <cell r="P12">
            <v>1350</v>
          </cell>
          <cell r="Q12">
            <v>3</v>
          </cell>
          <cell r="S12" t="str">
            <v>2 x 110</v>
          </cell>
        </row>
        <row r="13">
          <cell r="A13" t="str">
            <v>10XXX999</v>
          </cell>
          <cell r="B13" t="str">
            <v>AREA SUBTOTAL</v>
          </cell>
        </row>
        <row r="14">
          <cell r="A14" t="str">
            <v>30AAA000</v>
          </cell>
          <cell r="B14" t="str">
            <v>AREA 30 : SECONDARY CRUSHING</v>
          </cell>
        </row>
        <row r="15">
          <cell r="A15" t="str">
            <v>30CVR004</v>
          </cell>
          <cell r="B15" t="str">
            <v>SECONDARY SCREENING FEED CONVEYOR</v>
          </cell>
          <cell r="C15">
            <v>1</v>
          </cell>
          <cell r="D15" t="str">
            <v>E-W</v>
          </cell>
          <cell r="E15" t="str">
            <v>61deg high angle</v>
          </cell>
          <cell r="F15" t="str">
            <v>tail hyd</v>
          </cell>
          <cell r="G15">
            <v>49.5</v>
          </cell>
          <cell r="H15">
            <v>28</v>
          </cell>
          <cell r="J15">
            <v>1795.4</v>
          </cell>
          <cell r="K15">
            <v>1795.4</v>
          </cell>
          <cell r="L15">
            <v>2000</v>
          </cell>
          <cell r="M15" t="str">
            <v>-250+0</v>
          </cell>
          <cell r="N15">
            <v>1.6</v>
          </cell>
          <cell r="O15">
            <v>3</v>
          </cell>
          <cell r="P15">
            <v>1800</v>
          </cell>
          <cell r="S15" t="str">
            <v>2 x 160</v>
          </cell>
        </row>
        <row r="16">
          <cell r="A16" t="str">
            <v>30CVR005,6</v>
          </cell>
          <cell r="B16" t="str">
            <v>SECONDARY SCREENING UNDERSIZE CONVEYOR</v>
          </cell>
          <cell r="C16">
            <v>2</v>
          </cell>
          <cell r="F16" t="str">
            <v>tail screw</v>
          </cell>
          <cell r="G16">
            <v>14.5</v>
          </cell>
          <cell r="H16">
            <v>4</v>
          </cell>
          <cell r="J16">
            <v>416.8</v>
          </cell>
          <cell r="K16">
            <v>208.4</v>
          </cell>
          <cell r="L16">
            <v>500</v>
          </cell>
          <cell r="M16" t="str">
            <v>-32+4</v>
          </cell>
          <cell r="N16">
            <v>1.6</v>
          </cell>
          <cell r="O16">
            <v>3.6</v>
          </cell>
          <cell r="P16">
            <v>900</v>
          </cell>
          <cell r="Q16">
            <v>1.5</v>
          </cell>
          <cell r="S16" t="str">
            <v>15 (each)</v>
          </cell>
        </row>
        <row r="17">
          <cell r="A17" t="str">
            <v>30CVR007</v>
          </cell>
          <cell r="B17" t="str">
            <v>SECONDARY CRUSHING FEED CONVEYOR</v>
          </cell>
          <cell r="C17">
            <v>1</v>
          </cell>
          <cell r="D17" t="str">
            <v>E-W</v>
          </cell>
          <cell r="E17" t="str">
            <v>30deg high angle</v>
          </cell>
          <cell r="F17" t="str">
            <v>tail hyd</v>
          </cell>
          <cell r="G17">
            <v>56</v>
          </cell>
          <cell r="H17">
            <v>16.5</v>
          </cell>
          <cell r="J17">
            <v>951.4</v>
          </cell>
          <cell r="K17">
            <v>951.4</v>
          </cell>
          <cell r="L17">
            <v>1100</v>
          </cell>
          <cell r="M17" t="str">
            <v>-250+60</v>
          </cell>
          <cell r="N17">
            <v>1.6</v>
          </cell>
          <cell r="O17" t="str">
            <v>3 "dry"</v>
          </cell>
          <cell r="P17">
            <v>1800</v>
          </cell>
          <cell r="S17" t="str">
            <v>2 x 55</v>
          </cell>
        </row>
        <row r="18">
          <cell r="A18" t="str">
            <v>30CVR009</v>
          </cell>
          <cell r="B18" t="str">
            <v>LDP FEED CONVEYOR</v>
          </cell>
          <cell r="C18">
            <v>1</v>
          </cell>
          <cell r="D18" t="str">
            <v>E-W</v>
          </cell>
          <cell r="E18" t="str">
            <v>65deg high angle</v>
          </cell>
          <cell r="F18" t="str">
            <v>tail screw</v>
          </cell>
          <cell r="G18">
            <v>53</v>
          </cell>
          <cell r="H18">
            <v>30</v>
          </cell>
          <cell r="J18" t="e">
            <v>#REF!</v>
          </cell>
          <cell r="K18" t="e">
            <v>#REF!</v>
          </cell>
          <cell r="L18" t="e">
            <v>#REF!</v>
          </cell>
          <cell r="M18" t="str">
            <v>-60+32</v>
          </cell>
          <cell r="N18">
            <v>1.6</v>
          </cell>
          <cell r="O18" t="str">
            <v>3 "dry"</v>
          </cell>
          <cell r="P18">
            <v>914</v>
          </cell>
        </row>
        <row r="19">
          <cell r="A19" t="str">
            <v>30FDB001</v>
          </cell>
          <cell r="B19" t="str">
            <v>SECONDARY CRUSHER FEEDER</v>
          </cell>
          <cell r="C19">
            <v>1</v>
          </cell>
          <cell r="E19" t="str">
            <v>belt feeder</v>
          </cell>
          <cell r="F19" t="str">
            <v>tail screw</v>
          </cell>
          <cell r="G19">
            <v>16</v>
          </cell>
          <cell r="H19">
            <v>0</v>
          </cell>
          <cell r="J19">
            <v>951.4</v>
          </cell>
          <cell r="K19">
            <v>951.4</v>
          </cell>
          <cell r="L19" t="str">
            <v>0-1100</v>
          </cell>
          <cell r="M19" t="str">
            <v>-250+60</v>
          </cell>
          <cell r="N19">
            <v>1.6</v>
          </cell>
          <cell r="O19" t="str">
            <v>3 "dry"</v>
          </cell>
          <cell r="P19">
            <v>1800</v>
          </cell>
          <cell r="Q19" t="str">
            <v>0 - 0.6</v>
          </cell>
          <cell r="R19" t="str">
            <v>yes</v>
          </cell>
          <cell r="S19">
            <v>45</v>
          </cell>
        </row>
        <row r="20">
          <cell r="A20" t="str">
            <v>30XXX999</v>
          </cell>
          <cell r="B20" t="str">
            <v>AREA SUBTOTAL</v>
          </cell>
        </row>
        <row r="21">
          <cell r="A21" t="str">
            <v>40AAA000</v>
          </cell>
          <cell r="B21" t="str">
            <v>AREA 40 : DMS GENERAL</v>
          </cell>
        </row>
        <row r="22">
          <cell r="A22" t="str">
            <v>40CVR011</v>
          </cell>
          <cell r="B22" t="str">
            <v>DMS FEED BINS CONVEYOR</v>
          </cell>
          <cell r="C22">
            <v>1</v>
          </cell>
          <cell r="E22" t="str">
            <v>2 fixed trippers</v>
          </cell>
          <cell r="F22" t="str">
            <v>gravity</v>
          </cell>
          <cell r="G22">
            <v>41</v>
          </cell>
          <cell r="H22" t="str">
            <v>2 x 2.9</v>
          </cell>
          <cell r="I22" t="str">
            <v>on bins</v>
          </cell>
          <cell r="J22">
            <v>1247.5999999999999</v>
          </cell>
          <cell r="K22">
            <v>1247.5999999999999</v>
          </cell>
          <cell r="L22">
            <v>1500</v>
          </cell>
          <cell r="M22" t="str">
            <v>-32+0</v>
          </cell>
          <cell r="N22">
            <v>1.6</v>
          </cell>
          <cell r="O22">
            <v>5.9</v>
          </cell>
          <cell r="P22">
            <v>1350</v>
          </cell>
          <cell r="Q22">
            <v>2</v>
          </cell>
          <cell r="S22">
            <v>30</v>
          </cell>
        </row>
        <row r="23">
          <cell r="A23" t="str">
            <v>40CVR012</v>
          </cell>
          <cell r="B23" t="str">
            <v>SINKS CONVEYOR</v>
          </cell>
          <cell r="C23">
            <v>1</v>
          </cell>
          <cell r="F23" t="str">
            <v>tail screw</v>
          </cell>
          <cell r="G23">
            <v>42</v>
          </cell>
          <cell r="H23">
            <v>0</v>
          </cell>
          <cell r="J23">
            <v>11.43</v>
          </cell>
          <cell r="K23">
            <v>11.43</v>
          </cell>
          <cell r="L23">
            <v>20</v>
          </cell>
          <cell r="M23" t="str">
            <v>-32+1</v>
          </cell>
          <cell r="N23">
            <v>1.6</v>
          </cell>
          <cell r="O23">
            <v>5.9</v>
          </cell>
          <cell r="P23">
            <v>600</v>
          </cell>
          <cell r="Q23">
            <v>1.5</v>
          </cell>
          <cell r="S23">
            <v>4</v>
          </cell>
        </row>
        <row r="24">
          <cell r="A24" t="str">
            <v>40CVR014</v>
          </cell>
          <cell r="B24" t="str">
            <v>PRECRUSH FEED CONVEYOR</v>
          </cell>
          <cell r="C24">
            <v>1</v>
          </cell>
          <cell r="D24" t="str">
            <v>N-S</v>
          </cell>
          <cell r="E24" t="str">
            <v>45deg high angle</v>
          </cell>
          <cell r="F24" t="str">
            <v>tail hyd</v>
          </cell>
          <cell r="G24">
            <v>71.5</v>
          </cell>
          <cell r="H24">
            <v>15</v>
          </cell>
          <cell r="I24">
            <v>6</v>
          </cell>
          <cell r="J24">
            <v>1273.5</v>
          </cell>
          <cell r="K24">
            <v>1273.5</v>
          </cell>
          <cell r="L24">
            <v>1400</v>
          </cell>
          <cell r="M24" t="str">
            <v>-60+6</v>
          </cell>
          <cell r="N24">
            <v>1.6</v>
          </cell>
          <cell r="O24">
            <v>2.7</v>
          </cell>
          <cell r="P24">
            <v>1350</v>
          </cell>
          <cell r="S24" t="str">
            <v>2 x 75</v>
          </cell>
        </row>
        <row r="25">
          <cell r="A25" t="str">
            <v>40CVR025</v>
          </cell>
          <cell r="B25" t="str">
            <v>COARSE TAILINGS CONVEYOR</v>
          </cell>
          <cell r="C25">
            <v>1</v>
          </cell>
          <cell r="F25" t="str">
            <v>gravity</v>
          </cell>
          <cell r="G25">
            <v>60</v>
          </cell>
          <cell r="H25" t="str">
            <v>0</v>
          </cell>
          <cell r="I25">
            <v>6</v>
          </cell>
          <cell r="J25">
            <v>341.2</v>
          </cell>
          <cell r="K25">
            <v>341.2</v>
          </cell>
          <cell r="L25">
            <v>450</v>
          </cell>
          <cell r="M25" t="str">
            <v>-6+1</v>
          </cell>
          <cell r="N25">
            <v>1.6</v>
          </cell>
          <cell r="O25">
            <v>10.1</v>
          </cell>
          <cell r="P25">
            <v>900</v>
          </cell>
          <cell r="Q25">
            <v>1.5</v>
          </cell>
          <cell r="S25">
            <v>18.5</v>
          </cell>
        </row>
        <row r="26">
          <cell r="A26" t="str">
            <v>40CVR026</v>
          </cell>
          <cell r="B26" t="str">
            <v>COARSE TAILINGS TRANSFER CONVEYOR</v>
          </cell>
          <cell r="C26">
            <v>1</v>
          </cell>
          <cell r="F26" t="str">
            <v>gravity</v>
          </cell>
          <cell r="G26">
            <v>60</v>
          </cell>
          <cell r="H26" t="str">
            <v>0</v>
          </cell>
          <cell r="J26">
            <v>341.2</v>
          </cell>
          <cell r="K26">
            <v>341.2</v>
          </cell>
          <cell r="L26">
            <v>450</v>
          </cell>
          <cell r="M26" t="str">
            <v>-6+1</v>
          </cell>
          <cell r="N26">
            <v>1.6</v>
          </cell>
          <cell r="O26">
            <v>10.1</v>
          </cell>
          <cell r="P26">
            <v>900</v>
          </cell>
          <cell r="Q26">
            <v>1.5</v>
          </cell>
          <cell r="S26">
            <v>18.5</v>
          </cell>
        </row>
        <row r="27">
          <cell r="A27" t="str">
            <v>40CVR027</v>
          </cell>
          <cell r="B27" t="str">
            <v>COARSE TAILINGS DUMP FEED CONVEYOR</v>
          </cell>
          <cell r="C27">
            <v>1</v>
          </cell>
          <cell r="F27" t="str">
            <v>gravity</v>
          </cell>
          <cell r="G27">
            <v>300</v>
          </cell>
          <cell r="H27">
            <v>20</v>
          </cell>
          <cell r="J27">
            <v>441.2</v>
          </cell>
          <cell r="K27">
            <v>441.2</v>
          </cell>
          <cell r="L27">
            <v>600</v>
          </cell>
          <cell r="M27" t="str">
            <v>-6+1</v>
          </cell>
          <cell r="N27">
            <v>1.6</v>
          </cell>
          <cell r="O27">
            <v>10.1</v>
          </cell>
          <cell r="P27">
            <v>900</v>
          </cell>
          <cell r="Q27">
            <v>1.5</v>
          </cell>
          <cell r="S27">
            <v>110</v>
          </cell>
        </row>
        <row r="28">
          <cell r="A28" t="str">
            <v>40CVR028,29</v>
          </cell>
          <cell r="B28" t="str">
            <v>COARSE TAILINGS TRIPPER                     - extending</v>
          </cell>
          <cell r="C28">
            <v>1</v>
          </cell>
          <cell r="F28" t="str">
            <v>gravity</v>
          </cell>
          <cell r="G28" t="str">
            <v>27-75</v>
          </cell>
          <cell r="H28">
            <v>6</v>
          </cell>
          <cell r="J28">
            <v>441.2</v>
          </cell>
          <cell r="K28">
            <v>441.2</v>
          </cell>
          <cell r="L28">
            <v>600</v>
          </cell>
          <cell r="M28" t="str">
            <v>-6+1</v>
          </cell>
          <cell r="N28">
            <v>1.6</v>
          </cell>
          <cell r="O28">
            <v>10.1</v>
          </cell>
          <cell r="P28">
            <v>900</v>
          </cell>
          <cell r="Q28">
            <v>2.5</v>
          </cell>
          <cell r="S28">
            <v>55</v>
          </cell>
        </row>
        <row r="29">
          <cell r="A29" t="str">
            <v>40CVR032</v>
          </cell>
          <cell r="B29" t="str">
            <v>COARSE TAILINGS CONVEYOR                 - reversible</v>
          </cell>
          <cell r="C29">
            <v>1</v>
          </cell>
          <cell r="F29" t="str">
            <v>gravity</v>
          </cell>
          <cell r="G29">
            <v>10</v>
          </cell>
          <cell r="H29">
            <v>0</v>
          </cell>
          <cell r="J29">
            <v>441.2</v>
          </cell>
          <cell r="K29">
            <v>441.2</v>
          </cell>
          <cell r="L29">
            <v>600</v>
          </cell>
          <cell r="M29" t="str">
            <v>-6+1</v>
          </cell>
          <cell r="N29">
            <v>1.6</v>
          </cell>
          <cell r="O29">
            <v>10.1</v>
          </cell>
          <cell r="P29">
            <v>900</v>
          </cell>
          <cell r="Q29">
            <v>1.5</v>
          </cell>
          <cell r="S29">
            <v>30</v>
          </cell>
        </row>
        <row r="30">
          <cell r="A30" t="str">
            <v>40FLG001,2</v>
          </cell>
          <cell r="B30" t="str">
            <v>COARSE TAILINGS FLINGER (Changed to Turbo Conveyor)</v>
          </cell>
          <cell r="C30">
            <v>1</v>
          </cell>
          <cell r="F30" t="str">
            <v>tail screw</v>
          </cell>
          <cell r="G30">
            <v>4</v>
          </cell>
          <cell r="H30">
            <v>1</v>
          </cell>
          <cell r="J30">
            <v>441.2</v>
          </cell>
          <cell r="K30">
            <v>441.2</v>
          </cell>
          <cell r="L30">
            <v>600</v>
          </cell>
          <cell r="M30" t="str">
            <v>-6+1</v>
          </cell>
          <cell r="N30">
            <v>1.6</v>
          </cell>
          <cell r="O30">
            <v>10.1</v>
          </cell>
          <cell r="P30">
            <v>900</v>
          </cell>
          <cell r="Q30">
            <v>28.3</v>
          </cell>
          <cell r="S30">
            <v>11</v>
          </cell>
        </row>
        <row r="31">
          <cell r="A31" t="str">
            <v>40XXX999</v>
          </cell>
          <cell r="B31" t="str">
            <v>AREA SUBTOTAL</v>
          </cell>
        </row>
        <row r="32">
          <cell r="A32" t="str">
            <v>41AAA000</v>
          </cell>
          <cell r="B32" t="str">
            <v>AREA 41 : DMS MODULES</v>
          </cell>
        </row>
        <row r="33">
          <cell r="A33" t="str">
            <v>41FDB001</v>
          </cell>
          <cell r="B33" t="str">
            <v>DMS  FEEDER</v>
          </cell>
          <cell r="C33">
            <v>6</v>
          </cell>
          <cell r="E33" t="str">
            <v>belt feeder</v>
          </cell>
          <cell r="F33" t="str">
            <v>gravity</v>
          </cell>
          <cell r="G33">
            <v>43</v>
          </cell>
          <cell r="H33">
            <v>10</v>
          </cell>
          <cell r="J33">
            <v>200</v>
          </cell>
          <cell r="K33">
            <v>33.333333333333336</v>
          </cell>
          <cell r="L33" t="str">
            <v>0-250</v>
          </cell>
          <cell r="M33" t="str">
            <v>-32+0</v>
          </cell>
          <cell r="N33">
            <v>1.6</v>
          </cell>
          <cell r="O33">
            <v>5.9</v>
          </cell>
          <cell r="P33">
            <v>1350</v>
          </cell>
          <cell r="Q33" t="str">
            <v>0 - 0.3</v>
          </cell>
          <cell r="R33" t="str">
            <v>yes</v>
          </cell>
          <cell r="S33">
            <v>37</v>
          </cell>
        </row>
        <row r="34">
          <cell r="A34" t="str">
            <v>41XXX999</v>
          </cell>
          <cell r="B34" t="str">
            <v>AREA SUBTOTAL</v>
          </cell>
        </row>
        <row r="35">
          <cell r="A35" t="str">
            <v>50AAA000</v>
          </cell>
          <cell r="B35" t="str">
            <v>AREA 50 : RECRUSH CRUSHING</v>
          </cell>
        </row>
        <row r="36">
          <cell r="A36" t="str">
            <v>50CVR015</v>
          </cell>
          <cell r="B36" t="str">
            <v>HPRC FEED CONVEYOR</v>
          </cell>
          <cell r="C36">
            <v>1</v>
          </cell>
          <cell r="F36" t="str">
            <v>gravity</v>
          </cell>
          <cell r="G36">
            <v>123</v>
          </cell>
          <cell r="H36">
            <v>24</v>
          </cell>
          <cell r="J36">
            <v>1698</v>
          </cell>
          <cell r="K36">
            <v>1698</v>
          </cell>
          <cell r="L36">
            <v>2000</v>
          </cell>
          <cell r="M36" t="str">
            <v>-60+0</v>
          </cell>
          <cell r="N36">
            <v>1.6</v>
          </cell>
          <cell r="O36">
            <v>10.1</v>
          </cell>
          <cell r="P36">
            <v>1350</v>
          </cell>
          <cell r="Q36">
            <v>2.5</v>
          </cell>
          <cell r="S36" t="str">
            <v>2 x 110</v>
          </cell>
        </row>
        <row r="37">
          <cell r="A37" t="str">
            <v>50CVR016</v>
          </cell>
          <cell r="B37" t="str">
            <v>HPRC PRODUCT CONVEYOR</v>
          </cell>
          <cell r="C37">
            <v>1</v>
          </cell>
          <cell r="D37" t="str">
            <v>E-W</v>
          </cell>
          <cell r="F37" t="str">
            <v>gravity</v>
          </cell>
          <cell r="G37">
            <v>115</v>
          </cell>
          <cell r="H37">
            <v>10</v>
          </cell>
          <cell r="J37">
            <v>1698</v>
          </cell>
          <cell r="K37">
            <v>1698</v>
          </cell>
          <cell r="L37">
            <v>2000</v>
          </cell>
          <cell r="M37" t="str">
            <v>-25+0</v>
          </cell>
          <cell r="N37">
            <v>1.6</v>
          </cell>
          <cell r="O37">
            <v>2</v>
          </cell>
          <cell r="P37">
            <v>1350</v>
          </cell>
          <cell r="Q37">
            <v>2.5</v>
          </cell>
          <cell r="S37">
            <v>132</v>
          </cell>
        </row>
        <row r="38">
          <cell r="A38" t="str">
            <v>50CVR017</v>
          </cell>
          <cell r="B38" t="str">
            <v>HPRC RECYCLE TRANSFER CONVEYOR</v>
          </cell>
          <cell r="C38">
            <v>1</v>
          </cell>
          <cell r="D38" t="str">
            <v>N-S</v>
          </cell>
          <cell r="F38" t="str">
            <v>gravity</v>
          </cell>
          <cell r="G38">
            <v>125</v>
          </cell>
          <cell r="H38">
            <v>3.5</v>
          </cell>
          <cell r="J38">
            <v>424.5</v>
          </cell>
          <cell r="K38">
            <v>424.5</v>
          </cell>
          <cell r="L38">
            <v>600</v>
          </cell>
          <cell r="M38" t="str">
            <v>-25+0</v>
          </cell>
          <cell r="N38">
            <v>1.6</v>
          </cell>
          <cell r="O38">
            <v>2</v>
          </cell>
          <cell r="P38">
            <v>900</v>
          </cell>
          <cell r="Q38">
            <v>1.5</v>
          </cell>
          <cell r="S38">
            <v>30</v>
          </cell>
        </row>
        <row r="39">
          <cell r="A39" t="str">
            <v>50CVR018</v>
          </cell>
          <cell r="B39" t="str">
            <v>HPRC RECYCLE CONVEYOR</v>
          </cell>
          <cell r="C39">
            <v>1</v>
          </cell>
          <cell r="D39" t="str">
            <v>E-W</v>
          </cell>
          <cell r="F39" t="str">
            <v>gravity</v>
          </cell>
          <cell r="G39">
            <v>110</v>
          </cell>
          <cell r="H39">
            <v>5.5</v>
          </cell>
          <cell r="J39">
            <v>424.5</v>
          </cell>
          <cell r="K39">
            <v>424.5</v>
          </cell>
          <cell r="L39">
            <v>600</v>
          </cell>
          <cell r="M39" t="str">
            <v>-25+0</v>
          </cell>
          <cell r="N39">
            <v>1.6</v>
          </cell>
          <cell r="O39">
            <v>2</v>
          </cell>
          <cell r="P39">
            <v>900</v>
          </cell>
          <cell r="Q39">
            <v>1.5</v>
          </cell>
          <cell r="S39">
            <v>30</v>
          </cell>
        </row>
        <row r="40">
          <cell r="A40" t="str">
            <v>50FDB001,2</v>
          </cell>
          <cell r="B40" t="str">
            <v>HPRC FEEDER</v>
          </cell>
          <cell r="C40">
            <v>2</v>
          </cell>
          <cell r="E40" t="str">
            <v>belt feeder</v>
          </cell>
          <cell r="F40" t="str">
            <v>tail screw</v>
          </cell>
          <cell r="G40">
            <v>13.5</v>
          </cell>
          <cell r="H40">
            <v>0</v>
          </cell>
          <cell r="J40" t="e">
            <v>#REF!</v>
          </cell>
          <cell r="K40" t="e">
            <v>#REF!</v>
          </cell>
          <cell r="L40" t="str">
            <v>0-1000</v>
          </cell>
          <cell r="M40" t="str">
            <v>-250+0</v>
          </cell>
          <cell r="N40">
            <v>1.6</v>
          </cell>
          <cell r="O40" t="str">
            <v>3 "dry"</v>
          </cell>
          <cell r="P40">
            <v>1800</v>
          </cell>
          <cell r="Q40" t="str">
            <v>0 - 0.6</v>
          </cell>
          <cell r="R40" t="str">
            <v>yes</v>
          </cell>
          <cell r="S40">
            <v>45</v>
          </cell>
        </row>
        <row r="41">
          <cell r="A41" t="str">
            <v>50XXX999</v>
          </cell>
          <cell r="B41" t="str">
            <v>AREA SUBTOTAL</v>
          </cell>
        </row>
        <row r="42">
          <cell r="A42" t="str">
            <v>60AAA000</v>
          </cell>
          <cell r="B42" t="str">
            <v>AREA 60 : LARGE DIAMOND PLANT</v>
          </cell>
        </row>
        <row r="43">
          <cell r="A43" t="str">
            <v>60CVR010</v>
          </cell>
          <cell r="B43" t="str">
            <v>LDP TAILINGS CONVEYOR</v>
          </cell>
          <cell r="C43">
            <v>1</v>
          </cell>
          <cell r="F43" t="str">
            <v>gravity</v>
          </cell>
          <cell r="G43">
            <v>41</v>
          </cell>
          <cell r="H43">
            <v>3.7</v>
          </cell>
          <cell r="I43">
            <v>7</v>
          </cell>
          <cell r="J43">
            <v>427.3</v>
          </cell>
          <cell r="K43">
            <v>427.3</v>
          </cell>
          <cell r="L43">
            <v>600</v>
          </cell>
          <cell r="M43" t="str">
            <v>-60+32</v>
          </cell>
          <cell r="N43">
            <v>1.6</v>
          </cell>
          <cell r="O43">
            <v>1.6</v>
          </cell>
          <cell r="P43">
            <v>900</v>
          </cell>
          <cell r="Q43">
            <v>1.5</v>
          </cell>
          <cell r="S43">
            <v>30</v>
          </cell>
        </row>
        <row r="44">
          <cell r="A44" t="str">
            <v>60CVR021</v>
          </cell>
          <cell r="B44" t="str">
            <v>LDP SORTER TAILS TRANSFER CONVEYOR</v>
          </cell>
          <cell r="C44">
            <v>1</v>
          </cell>
          <cell r="F44" t="str">
            <v>tail screw</v>
          </cell>
          <cell r="G44">
            <v>22.5</v>
          </cell>
          <cell r="H44">
            <v>0</v>
          </cell>
          <cell r="I44" t="str">
            <v>8.0 min</v>
          </cell>
          <cell r="J44">
            <v>427.3</v>
          </cell>
          <cell r="K44">
            <v>427.3</v>
          </cell>
          <cell r="L44">
            <v>250</v>
          </cell>
          <cell r="M44" t="str">
            <v>-60+32</v>
          </cell>
          <cell r="N44">
            <v>1.6</v>
          </cell>
          <cell r="O44">
            <v>0</v>
          </cell>
          <cell r="P44">
            <v>900</v>
          </cell>
          <cell r="Q44">
            <v>1.5</v>
          </cell>
          <cell r="S44">
            <v>18.5</v>
          </cell>
        </row>
        <row r="45">
          <cell r="A45" t="str">
            <v>60CVR022</v>
          </cell>
          <cell r="B45" t="str">
            <v>LDP SORTER CONCENTRATE CONVEYOR</v>
          </cell>
          <cell r="C45">
            <v>1</v>
          </cell>
          <cell r="F45" t="str">
            <v>tail screw</v>
          </cell>
          <cell r="G45">
            <v>30</v>
          </cell>
          <cell r="H45">
            <v>0</v>
          </cell>
          <cell r="J45">
            <v>10</v>
          </cell>
          <cell r="K45">
            <v>10</v>
          </cell>
          <cell r="L45">
            <v>10</v>
          </cell>
          <cell r="M45" t="str">
            <v>-60+32</v>
          </cell>
          <cell r="N45">
            <v>1.6</v>
          </cell>
          <cell r="O45">
            <v>1.6</v>
          </cell>
          <cell r="P45">
            <v>600</v>
          </cell>
          <cell r="Q45">
            <v>1.5</v>
          </cell>
          <cell r="S45">
            <v>7.5</v>
          </cell>
        </row>
        <row r="46">
          <cell r="A46" t="str">
            <v>60XXX999</v>
          </cell>
          <cell r="B46" t="str">
            <v>AREA SUBTOTAL</v>
          </cell>
        </row>
        <row r="47">
          <cell r="A47" t="str">
            <v>70AAA000</v>
          </cell>
          <cell r="B47" t="str">
            <v>AREA 70 : RECOVERY</v>
          </cell>
        </row>
        <row r="48">
          <cell r="A48" t="str">
            <v>70CVR019</v>
          </cell>
          <cell r="B48" t="str">
            <v>RECOVERY TAILINGS CONVEYOR</v>
          </cell>
          <cell r="C48">
            <v>1</v>
          </cell>
          <cell r="F48" t="str">
            <v>gravity</v>
          </cell>
          <cell r="G48">
            <v>60</v>
          </cell>
          <cell r="H48">
            <v>8</v>
          </cell>
          <cell r="J48">
            <v>441.2</v>
          </cell>
          <cell r="K48">
            <v>441.2</v>
          </cell>
          <cell r="L48">
            <v>600</v>
          </cell>
          <cell r="M48" t="str">
            <v>-32+1</v>
          </cell>
          <cell r="N48">
            <v>1.6</v>
          </cell>
          <cell r="O48" t="str">
            <v>3 "dry"</v>
          </cell>
          <cell r="P48">
            <v>600</v>
          </cell>
          <cell r="Q48">
            <v>1.5</v>
          </cell>
          <cell r="S48">
            <v>7.5</v>
          </cell>
        </row>
        <row r="49">
          <cell r="A49" t="str">
            <v>70CVR030</v>
          </cell>
          <cell r="B49" t="str">
            <v>RECOVERY TAILINGS TRIPPER                 - extending</v>
          </cell>
          <cell r="C49">
            <v>1</v>
          </cell>
          <cell r="F49" t="str">
            <v>gravity</v>
          </cell>
          <cell r="G49">
            <v>80</v>
          </cell>
          <cell r="H49">
            <v>14</v>
          </cell>
          <cell r="J49">
            <v>12</v>
          </cell>
          <cell r="K49">
            <v>12</v>
          </cell>
          <cell r="L49">
            <v>20</v>
          </cell>
          <cell r="M49" t="str">
            <v>-32+1</v>
          </cell>
          <cell r="N49">
            <v>1.6</v>
          </cell>
          <cell r="O49" t="str">
            <v>3 "dry"</v>
          </cell>
          <cell r="P49">
            <v>600</v>
          </cell>
          <cell r="Q49">
            <v>1.5</v>
          </cell>
          <cell r="S49">
            <v>7.5</v>
          </cell>
        </row>
        <row r="50">
          <cell r="A50" t="str">
            <v>70CVR031</v>
          </cell>
          <cell r="B50" t="str">
            <v>RECOVERY TAILINGS SPREADER</v>
          </cell>
          <cell r="C50">
            <v>1</v>
          </cell>
          <cell r="F50" t="str">
            <v>gravity</v>
          </cell>
          <cell r="G50">
            <v>10</v>
          </cell>
          <cell r="H50">
            <v>3</v>
          </cell>
          <cell r="J50">
            <v>12</v>
          </cell>
          <cell r="K50">
            <v>12</v>
          </cell>
          <cell r="L50">
            <v>20</v>
          </cell>
          <cell r="M50" t="str">
            <v>-32+1</v>
          </cell>
          <cell r="N50">
            <v>1.6</v>
          </cell>
          <cell r="O50" t="str">
            <v>3 "dry"</v>
          </cell>
          <cell r="P50">
            <v>600</v>
          </cell>
          <cell r="Q50">
            <v>1.5</v>
          </cell>
          <cell r="S50">
            <v>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TS I PS"/>
      <sheetName val="Mech"/>
      <sheetName val="data_benefit(1)"/>
      <sheetName val="data_val"/>
      <sheetName val="List"/>
      <sheetName val="BELI"/>
      <sheetName val="PRODUKSI"/>
    </sheetNames>
    <sheetDataSet>
      <sheetData sheetId="0">
        <row r="22">
          <cell r="T22">
            <v>0.16666666666666666</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4.4"/>
      <sheetName val="BL4.4"/>
      <sheetName val="LHU (2)"/>
      <sheetName val="BL4.4.1"/>
      <sheetName val="BL4.4.1 (2)"/>
      <sheetName val="BL4.4.1 (3)"/>
      <sheetName val="LHU (3)"/>
      <sheetName val="BL4.4.1 Div"/>
      <sheetName val="SD (1)"/>
      <sheetName val="LHU"/>
      <sheetName val="Rekap4.4.1"/>
      <sheetName val="BL4.4.1a"/>
      <sheetName val="BL4.4.4"/>
      <sheetName val="BL4.4.5"/>
      <sheetName val="BL4.4.5a"/>
      <sheetName val="BL4.4.5b"/>
      <sheetName val="Rekap4.5"/>
      <sheetName val="BL4.5"/>
      <sheetName val="BL4.5.1"/>
      <sheetName val="BL4.5.2"/>
      <sheetName val="BL4.5.3"/>
      <sheetName val="SD (All)"/>
      <sheetName val="BL5.1"/>
      <sheetName val="BL5.2"/>
      <sheetName val="BL5.3"/>
      <sheetName val="BL5.4"/>
      <sheetName val="Resume"/>
      <sheetName val="SIMPRO"/>
      <sheetName val="Sheet1"/>
      <sheetName val="Actual Employee"/>
      <sheetName val="BL (1)"/>
      <sheetName val="Manpower"/>
      <sheetName val="Macro1"/>
      <sheetName val="CTRs (HOURS) "/>
      <sheetName val="WO Summ"/>
      <sheetName val="41,9&amp;36,3"/>
      <sheetName val="P3"/>
      <sheetName val="slab"/>
      <sheetName val="Data"/>
      <sheetName val="Sheet5"/>
      <sheetName val="tabel berat"/>
      <sheetName val="Summary"/>
      <sheetName val="Accept. Letter"/>
      <sheetName val="Summary - Personnel"/>
      <sheetName val="Notes"/>
      <sheetName val="API14E (English)"/>
      <sheetName val="Sal&amp;Vent (English)"/>
      <sheetName val="Bank"/>
      <sheetName val="H.Satuan"/>
      <sheetName val="Bunga"/>
      <sheetName val="BAHAN"/>
      <sheetName val="RAB_DURI"/>
      <sheetName val="Mark-up"/>
      <sheetName val="Alat &amp; Bahan"/>
      <sheetName val="RAB"/>
    </sheetNames>
    <sheetDataSet>
      <sheetData sheetId="0"/>
      <sheetData sheetId="1"/>
      <sheetData sheetId="2"/>
      <sheetData sheetId="3"/>
      <sheetData sheetId="4"/>
      <sheetData sheetId="5"/>
      <sheetData sheetId="6"/>
      <sheetData sheetId="7"/>
      <sheetData sheetId="8" refreshError="1">
        <row r="15">
          <cell r="B15" t="str">
            <v>B1DN01</v>
          </cell>
          <cell r="C15" t="str">
            <v>Material Bantu</v>
          </cell>
          <cell r="D15" t="str">
            <v>Kg</v>
          </cell>
          <cell r="E15">
            <v>5</v>
          </cell>
          <cell r="F15" t="e">
            <v>#REF!</v>
          </cell>
          <cell r="G15">
            <v>5</v>
          </cell>
          <cell r="H15">
            <v>5</v>
          </cell>
          <cell r="I15">
            <v>5</v>
          </cell>
          <cell r="J15">
            <v>5</v>
          </cell>
          <cell r="K15">
            <v>5</v>
          </cell>
          <cell r="L15">
            <v>5</v>
          </cell>
          <cell r="M15">
            <v>5</v>
          </cell>
        </row>
        <row r="16">
          <cell r="B16" t="str">
            <v>B1DN02</v>
          </cell>
          <cell r="C16" t="str">
            <v>Material Bantu</v>
          </cell>
          <cell r="D16" t="str">
            <v>Kg</v>
          </cell>
          <cell r="E16">
            <v>15</v>
          </cell>
          <cell r="F16" t="e">
            <v>#REF!</v>
          </cell>
          <cell r="G16">
            <v>15</v>
          </cell>
          <cell r="H16">
            <v>15</v>
          </cell>
          <cell r="I16">
            <v>15</v>
          </cell>
          <cell r="J16">
            <v>15</v>
          </cell>
          <cell r="K16">
            <v>15</v>
          </cell>
          <cell r="L16">
            <v>15</v>
          </cell>
          <cell r="M16">
            <v>15</v>
          </cell>
        </row>
        <row r="22">
          <cell r="C22" t="str">
            <v>UPAH</v>
          </cell>
        </row>
        <row r="24">
          <cell r="B24" t="str">
            <v>C2EN00</v>
          </cell>
          <cell r="C24" t="str">
            <v>Enginering (Shop Drawing, Detail Drawing, As built Drawing)</v>
          </cell>
          <cell r="D24" t="str">
            <v>Kg</v>
          </cell>
          <cell r="E24">
            <v>75</v>
          </cell>
          <cell r="F24" t="e">
            <v>#REF!</v>
          </cell>
          <cell r="G24">
            <v>75</v>
          </cell>
          <cell r="H24">
            <v>75</v>
          </cell>
          <cell r="I24">
            <v>60</v>
          </cell>
          <cell r="J24">
            <v>80</v>
          </cell>
          <cell r="K24">
            <v>30</v>
          </cell>
          <cell r="L24">
            <v>80</v>
          </cell>
          <cell r="M24">
            <v>80</v>
          </cell>
        </row>
        <row r="25">
          <cell r="B25" t="str">
            <v>C2EA01</v>
          </cell>
          <cell r="C25" t="str">
            <v>Top Chord</v>
          </cell>
          <cell r="D25" t="str">
            <v>Kg</v>
          </cell>
          <cell r="E25">
            <v>650</v>
          </cell>
          <cell r="F25" t="e">
            <v>#REF!</v>
          </cell>
          <cell r="G25">
            <v>750</v>
          </cell>
          <cell r="H25">
            <v>750</v>
          </cell>
          <cell r="I25">
            <v>950</v>
          </cell>
          <cell r="J25">
            <v>985</v>
          </cell>
          <cell r="K25">
            <v>850</v>
          </cell>
          <cell r="L25">
            <v>885</v>
          </cell>
          <cell r="M25">
            <v>805</v>
          </cell>
        </row>
        <row r="26">
          <cell r="B26" t="str">
            <v>C2EA02</v>
          </cell>
          <cell r="C26" t="str">
            <v>Botton Chord</v>
          </cell>
          <cell r="D26" t="str">
            <v>Kg</v>
          </cell>
          <cell r="E26">
            <v>650</v>
          </cell>
          <cell r="F26" t="e">
            <v>#REF!</v>
          </cell>
          <cell r="G26">
            <v>750</v>
          </cell>
          <cell r="H26">
            <v>750</v>
          </cell>
          <cell r="I26">
            <v>950</v>
          </cell>
          <cell r="J26">
            <v>985</v>
          </cell>
          <cell r="K26">
            <v>850</v>
          </cell>
          <cell r="L26">
            <v>885</v>
          </cell>
          <cell r="M26">
            <v>805</v>
          </cell>
        </row>
        <row r="27">
          <cell r="B27" t="str">
            <v>C2EA03</v>
          </cell>
          <cell r="C27" t="str">
            <v>Welded Beam (Diagonal)</v>
          </cell>
          <cell r="D27" t="str">
            <v>Kg</v>
          </cell>
          <cell r="E27">
            <v>600</v>
          </cell>
          <cell r="F27" t="e">
            <v>#REF!</v>
          </cell>
          <cell r="G27">
            <v>550</v>
          </cell>
          <cell r="H27">
            <v>550</v>
          </cell>
          <cell r="I27">
            <v>600</v>
          </cell>
          <cell r="J27">
            <v>925</v>
          </cell>
          <cell r="K27">
            <v>650</v>
          </cell>
          <cell r="L27">
            <v>575</v>
          </cell>
          <cell r="M27">
            <v>575</v>
          </cell>
        </row>
        <row r="28">
          <cell r="B28" t="str">
            <v>C2EA04</v>
          </cell>
          <cell r="C28" t="str">
            <v xml:space="preserve">Diagonal </v>
          </cell>
          <cell r="D28" t="str">
            <v>Kg</v>
          </cell>
          <cell r="E28">
            <v>650</v>
          </cell>
          <cell r="F28" t="e">
            <v>#REF!</v>
          </cell>
          <cell r="G28">
            <v>750</v>
          </cell>
          <cell r="H28">
            <v>750</v>
          </cell>
          <cell r="I28">
            <v>950</v>
          </cell>
          <cell r="J28">
            <v>985</v>
          </cell>
          <cell r="K28">
            <v>850</v>
          </cell>
          <cell r="L28">
            <v>885</v>
          </cell>
          <cell r="M28">
            <v>805</v>
          </cell>
        </row>
        <row r="29">
          <cell r="B29" t="str">
            <v>C2EA05</v>
          </cell>
          <cell r="C29" t="str">
            <v>Cross Girder</v>
          </cell>
          <cell r="D29" t="str">
            <v>Kg</v>
          </cell>
          <cell r="E29">
            <v>650</v>
          </cell>
          <cell r="F29" t="e">
            <v>#REF!</v>
          </cell>
          <cell r="G29">
            <v>750</v>
          </cell>
          <cell r="H29">
            <v>750</v>
          </cell>
          <cell r="I29">
            <v>950</v>
          </cell>
          <cell r="J29">
            <v>985</v>
          </cell>
          <cell r="K29">
            <v>850</v>
          </cell>
          <cell r="L29">
            <v>885</v>
          </cell>
          <cell r="M29">
            <v>805</v>
          </cell>
        </row>
        <row r="30">
          <cell r="B30" t="str">
            <v>C2EA06</v>
          </cell>
          <cell r="C30" t="str">
            <v>Stringer</v>
          </cell>
          <cell r="D30" t="str">
            <v>Kg</v>
          </cell>
          <cell r="E30">
            <v>650</v>
          </cell>
          <cell r="F30" t="e">
            <v>#REF!</v>
          </cell>
          <cell r="G30">
            <v>750</v>
          </cell>
          <cell r="H30">
            <v>750</v>
          </cell>
          <cell r="I30">
            <v>950</v>
          </cell>
          <cell r="J30">
            <v>985</v>
          </cell>
          <cell r="K30">
            <v>850</v>
          </cell>
          <cell r="L30">
            <v>885</v>
          </cell>
          <cell r="M30">
            <v>805</v>
          </cell>
        </row>
        <row r="31">
          <cell r="B31" t="str">
            <v>C2EA07</v>
          </cell>
          <cell r="C31" t="str">
            <v>Gusset Plate</v>
          </cell>
          <cell r="D31" t="str">
            <v>Kg</v>
          </cell>
          <cell r="E31">
            <v>650</v>
          </cell>
          <cell r="F31" t="e">
            <v>#REF!</v>
          </cell>
          <cell r="G31">
            <v>750</v>
          </cell>
          <cell r="H31">
            <v>750</v>
          </cell>
          <cell r="I31">
            <v>950</v>
          </cell>
          <cell r="J31">
            <v>985</v>
          </cell>
          <cell r="K31">
            <v>850</v>
          </cell>
          <cell r="L31">
            <v>885</v>
          </cell>
          <cell r="M31">
            <v>805</v>
          </cell>
        </row>
        <row r="32">
          <cell r="B32" t="str">
            <v>C2EA08</v>
          </cell>
          <cell r="C32" t="str">
            <v>Wind Bracing</v>
          </cell>
          <cell r="D32" t="str">
            <v>Kg</v>
          </cell>
          <cell r="E32">
            <v>650</v>
          </cell>
          <cell r="F32" t="e">
            <v>#REF!</v>
          </cell>
          <cell r="G32">
            <v>750</v>
          </cell>
          <cell r="H32">
            <v>750</v>
          </cell>
          <cell r="I32">
            <v>950</v>
          </cell>
          <cell r="J32">
            <v>985</v>
          </cell>
          <cell r="K32">
            <v>850</v>
          </cell>
          <cell r="L32">
            <v>885</v>
          </cell>
          <cell r="M32">
            <v>805</v>
          </cell>
        </row>
        <row r="33">
          <cell r="B33" t="str">
            <v>C2EA09</v>
          </cell>
          <cell r="C33" t="str">
            <v>Splite Plate</v>
          </cell>
          <cell r="D33" t="str">
            <v>Kg</v>
          </cell>
          <cell r="E33">
            <v>650</v>
          </cell>
          <cell r="F33" t="e">
            <v>#REF!</v>
          </cell>
          <cell r="G33">
            <v>750</v>
          </cell>
          <cell r="H33">
            <v>750</v>
          </cell>
          <cell r="I33">
            <v>950</v>
          </cell>
          <cell r="J33">
            <v>985</v>
          </cell>
          <cell r="K33">
            <v>850</v>
          </cell>
          <cell r="L33">
            <v>885</v>
          </cell>
          <cell r="M33">
            <v>805</v>
          </cell>
        </row>
        <row r="34">
          <cell r="B34" t="str">
            <v>C2EA10</v>
          </cell>
          <cell r="C34" t="str">
            <v>Filler Plate</v>
          </cell>
          <cell r="D34" t="str">
            <v>Kg</v>
          </cell>
          <cell r="E34">
            <v>650</v>
          </cell>
          <cell r="F34" t="e">
            <v>#REF!</v>
          </cell>
          <cell r="G34">
            <v>750</v>
          </cell>
          <cell r="H34">
            <v>750</v>
          </cell>
          <cell r="I34">
            <v>950</v>
          </cell>
          <cell r="J34">
            <v>985</v>
          </cell>
          <cell r="K34">
            <v>850</v>
          </cell>
          <cell r="L34">
            <v>885</v>
          </cell>
          <cell r="M34">
            <v>805</v>
          </cell>
        </row>
        <row r="35">
          <cell r="B35" t="str">
            <v>C2EA11</v>
          </cell>
          <cell r="C35" t="str">
            <v>Dudukan Bearing</v>
          </cell>
          <cell r="D35" t="str">
            <v>Kg</v>
          </cell>
          <cell r="E35">
            <v>650</v>
          </cell>
          <cell r="F35" t="e">
            <v>#REF!</v>
          </cell>
          <cell r="G35">
            <v>750</v>
          </cell>
          <cell r="H35">
            <v>750</v>
          </cell>
          <cell r="I35">
            <v>950</v>
          </cell>
          <cell r="J35">
            <v>985</v>
          </cell>
          <cell r="K35">
            <v>850</v>
          </cell>
          <cell r="L35">
            <v>885</v>
          </cell>
          <cell r="M35">
            <v>805</v>
          </cell>
        </row>
        <row r="36">
          <cell r="B36" t="str">
            <v>C2EA12</v>
          </cell>
          <cell r="C36" t="str">
            <v>Upah Link Set</v>
          </cell>
          <cell r="D36" t="str">
            <v>Kg</v>
          </cell>
          <cell r="E36">
            <v>650</v>
          </cell>
          <cell r="F36" t="e">
            <v>#REF!</v>
          </cell>
          <cell r="G36">
            <v>750</v>
          </cell>
          <cell r="H36">
            <v>750</v>
          </cell>
          <cell r="I36">
            <v>950</v>
          </cell>
          <cell r="J36">
            <v>985</v>
          </cell>
          <cell r="K36">
            <v>850</v>
          </cell>
          <cell r="L36">
            <v>885</v>
          </cell>
          <cell r="M36">
            <v>805</v>
          </cell>
        </row>
        <row r="37">
          <cell r="B37" t="str">
            <v>C2EA13</v>
          </cell>
          <cell r="C37" t="str">
            <v>Upah Sortir &amp; Stacking</v>
          </cell>
          <cell r="D37" t="str">
            <v>Kg</v>
          </cell>
          <cell r="E37">
            <v>30</v>
          </cell>
          <cell r="F37" t="e">
            <v>#REF!</v>
          </cell>
          <cell r="G37">
            <v>40</v>
          </cell>
          <cell r="H37">
            <v>40</v>
          </cell>
          <cell r="I37">
            <v>40</v>
          </cell>
          <cell r="J37">
            <v>40</v>
          </cell>
          <cell r="K37">
            <v>30</v>
          </cell>
          <cell r="L37">
            <v>40</v>
          </cell>
          <cell r="M37">
            <v>40</v>
          </cell>
        </row>
        <row r="38">
          <cell r="B38" t="str">
            <v>C2EA14</v>
          </cell>
          <cell r="C38" t="str">
            <v>Upah Packing</v>
          </cell>
          <cell r="D38" t="str">
            <v>Kg</v>
          </cell>
          <cell r="E38">
            <v>30</v>
          </cell>
          <cell r="F38" t="e">
            <v>#REF!</v>
          </cell>
          <cell r="G38">
            <v>40</v>
          </cell>
          <cell r="H38">
            <v>40</v>
          </cell>
          <cell r="I38">
            <v>40</v>
          </cell>
          <cell r="J38">
            <v>40</v>
          </cell>
          <cell r="K38">
            <v>40</v>
          </cell>
          <cell r="L38">
            <v>40</v>
          </cell>
          <cell r="M38">
            <v>40</v>
          </cell>
        </row>
        <row r="39">
          <cell r="B39" t="str">
            <v>C2EA15</v>
          </cell>
          <cell r="C39" t="str">
            <v>Inspeksi Mateial</v>
          </cell>
          <cell r="D39" t="str">
            <v>Kg</v>
          </cell>
          <cell r="E39">
            <v>15</v>
          </cell>
          <cell r="F39" t="e">
            <v>#REF!</v>
          </cell>
          <cell r="G39">
            <v>15</v>
          </cell>
          <cell r="H39">
            <v>15</v>
          </cell>
          <cell r="I39">
            <v>15</v>
          </cell>
          <cell r="J39">
            <v>25</v>
          </cell>
          <cell r="K39">
            <v>20</v>
          </cell>
          <cell r="L39">
            <v>25</v>
          </cell>
          <cell r="M39">
            <v>25</v>
          </cell>
        </row>
        <row r="40">
          <cell r="B40" t="str">
            <v>C2EA16</v>
          </cell>
          <cell r="C40" t="str">
            <v>Upah Spare Component</v>
          </cell>
          <cell r="D40" t="str">
            <v>Kg</v>
          </cell>
          <cell r="F40" t="e">
            <v>#REF!</v>
          </cell>
          <cell r="G40">
            <v>750</v>
          </cell>
          <cell r="H40">
            <v>750</v>
          </cell>
          <cell r="I40">
            <v>950</v>
          </cell>
          <cell r="J40">
            <v>985</v>
          </cell>
          <cell r="K40">
            <v>850</v>
          </cell>
          <cell r="L40">
            <v>885</v>
          </cell>
          <cell r="M40">
            <v>805</v>
          </cell>
        </row>
        <row r="41">
          <cell r="B41" t="str">
            <v>C2EA17</v>
          </cell>
          <cell r="C41" t="str">
            <v>Welded Cross Girder</v>
          </cell>
          <cell r="D41" t="str">
            <v>Kg</v>
          </cell>
          <cell r="E41">
            <v>600</v>
          </cell>
          <cell r="F41" t="e">
            <v>#REF!</v>
          </cell>
          <cell r="J41">
            <v>925</v>
          </cell>
          <cell r="K41">
            <v>650</v>
          </cell>
          <cell r="L41">
            <v>575</v>
          </cell>
          <cell r="M41">
            <v>575</v>
          </cell>
        </row>
        <row r="42">
          <cell r="B42" t="str">
            <v>C2EA18</v>
          </cell>
          <cell r="C42" t="str">
            <v>Welded Bracing</v>
          </cell>
          <cell r="D42" t="str">
            <v>Kg</v>
          </cell>
          <cell r="E42">
            <v>600</v>
          </cell>
          <cell r="F42" t="e">
            <v>#REF!</v>
          </cell>
          <cell r="J42">
            <v>925</v>
          </cell>
          <cell r="K42">
            <v>650</v>
          </cell>
          <cell r="L42">
            <v>575</v>
          </cell>
          <cell r="M42">
            <v>575</v>
          </cell>
        </row>
        <row r="43">
          <cell r="B43" t="str">
            <v>C2EA19</v>
          </cell>
          <cell r="C43" t="str">
            <v>Welded Gusset Plate</v>
          </cell>
          <cell r="D43" t="str">
            <v>Kg</v>
          </cell>
          <cell r="E43">
            <v>600</v>
          </cell>
          <cell r="F43" t="e">
            <v>#REF!</v>
          </cell>
          <cell r="J43">
            <v>925</v>
          </cell>
          <cell r="K43">
            <v>650</v>
          </cell>
          <cell r="L43">
            <v>575</v>
          </cell>
          <cell r="M43">
            <v>575</v>
          </cell>
        </row>
        <row r="44">
          <cell r="B44" t="str">
            <v>C2EA20</v>
          </cell>
          <cell r="C44" t="str">
            <v>Welded Assembling/Dudukan Bearing</v>
          </cell>
          <cell r="D44" t="str">
            <v>Kg</v>
          </cell>
          <cell r="E44">
            <v>600</v>
          </cell>
          <cell r="F44" t="e">
            <v>#REF!</v>
          </cell>
          <cell r="J44">
            <v>925</v>
          </cell>
          <cell r="K44">
            <v>650</v>
          </cell>
          <cell r="L44">
            <v>575</v>
          </cell>
          <cell r="M44">
            <v>575</v>
          </cell>
        </row>
        <row r="45">
          <cell r="B45" t="str">
            <v>C2EA21</v>
          </cell>
          <cell r="C45" t="str">
            <v>Relokasi Beban BTL Pabrik WIKA - DME</v>
          </cell>
        </row>
        <row r="46">
          <cell r="B46" t="str">
            <v>C2EA22</v>
          </cell>
          <cell r="C46" t="str">
            <v>Upah Repair Fabrikasi</v>
          </cell>
          <cell r="D46" t="str">
            <v>Kg</v>
          </cell>
        </row>
        <row r="47">
          <cell r="C47" t="str">
            <v>ALAT</v>
          </cell>
        </row>
        <row r="49">
          <cell r="B49" t="str">
            <v>D5KR01</v>
          </cell>
          <cell r="C49" t="str">
            <v>Alat Bantu</v>
          </cell>
          <cell r="D49" t="str">
            <v>Kg</v>
          </cell>
          <cell r="E49">
            <v>5</v>
          </cell>
          <cell r="F49" t="e">
            <v>#REF!</v>
          </cell>
          <cell r="G49">
            <v>5</v>
          </cell>
          <cell r="H49">
            <v>5</v>
          </cell>
          <cell r="I49">
            <v>5</v>
          </cell>
          <cell r="J49">
            <v>5</v>
          </cell>
          <cell r="K49">
            <v>5</v>
          </cell>
          <cell r="L49">
            <v>5</v>
          </cell>
          <cell r="M49">
            <v>5</v>
          </cell>
        </row>
        <row r="50">
          <cell r="B50" t="str">
            <v>D5KR02</v>
          </cell>
          <cell r="C50" t="str">
            <v>Alat Bantu Packing</v>
          </cell>
          <cell r="D50" t="str">
            <v>Kg</v>
          </cell>
          <cell r="E50">
            <v>5</v>
          </cell>
          <cell r="F50" t="e">
            <v>#REF!</v>
          </cell>
          <cell r="G50">
            <v>7.5</v>
          </cell>
          <cell r="H50">
            <v>7.5</v>
          </cell>
          <cell r="I50">
            <v>7.5</v>
          </cell>
          <cell r="J50">
            <v>10</v>
          </cell>
          <cell r="K50">
            <v>8</v>
          </cell>
          <cell r="L50">
            <v>10</v>
          </cell>
          <cell r="M50">
            <v>10</v>
          </cell>
        </row>
        <row r="51">
          <cell r="B51" t="str">
            <v>D5KR03</v>
          </cell>
          <cell r="C51" t="str">
            <v>Rekondisi Alat Pabrik WIKA DME</v>
          </cell>
        </row>
        <row r="56">
          <cell r="C56" t="str">
            <v>SUB KONTRAKTOR</v>
          </cell>
        </row>
        <row r="58">
          <cell r="B58" t="str">
            <v>E2BA01</v>
          </cell>
          <cell r="C58" t="str">
            <v>Penyediaan Ruang Kerja untuk Direksi Lapangan</v>
          </cell>
          <cell r="D58" t="str">
            <v>Ls</v>
          </cell>
          <cell r="E58">
            <v>10500000</v>
          </cell>
          <cell r="F58" t="e">
            <v>#REF!</v>
          </cell>
          <cell r="G58">
            <v>10500000</v>
          </cell>
          <cell r="H58">
            <v>10500000</v>
          </cell>
          <cell r="I58">
            <v>10500000</v>
          </cell>
          <cell r="J58">
            <v>10500000</v>
          </cell>
          <cell r="K58">
            <v>10500000</v>
          </cell>
        </row>
        <row r="59">
          <cell r="B59" t="str">
            <v>E2BA02</v>
          </cell>
          <cell r="C59" t="str">
            <v>Akomodasi untuk Direksi Lapangan</v>
          </cell>
          <cell r="D59" t="str">
            <v>Ls</v>
          </cell>
          <cell r="E59">
            <v>10500000</v>
          </cell>
          <cell r="F59" t="e">
            <v>#REF!</v>
          </cell>
          <cell r="G59">
            <v>10500000</v>
          </cell>
          <cell r="H59">
            <v>10500000</v>
          </cell>
          <cell r="I59">
            <v>10500000</v>
          </cell>
          <cell r="J59">
            <v>10500000</v>
          </cell>
          <cell r="K59">
            <v>10500000</v>
          </cell>
        </row>
        <row r="60">
          <cell r="B60" t="str">
            <v>E2BA03</v>
          </cell>
          <cell r="C60" t="str">
            <v>Transportasi untuk Direksi Lapangan</v>
          </cell>
          <cell r="D60" t="str">
            <v>Ls</v>
          </cell>
          <cell r="E60">
            <v>7000000</v>
          </cell>
          <cell r="F60" t="e">
            <v>#REF!</v>
          </cell>
          <cell r="G60">
            <v>7000000</v>
          </cell>
          <cell r="H60">
            <v>7000000</v>
          </cell>
          <cell r="I60">
            <v>7000000</v>
          </cell>
          <cell r="J60">
            <v>7000000</v>
          </cell>
          <cell r="K60">
            <v>7000000</v>
          </cell>
        </row>
        <row r="61">
          <cell r="B61" t="str">
            <v>E2BA04</v>
          </cell>
          <cell r="C61" t="str">
            <v>Pekerjaan lain - lain</v>
          </cell>
          <cell r="D61" t="str">
            <v>Ls</v>
          </cell>
          <cell r="E61">
            <v>10000000</v>
          </cell>
          <cell r="F61" t="e">
            <v>#REF!</v>
          </cell>
          <cell r="G61">
            <v>10000000</v>
          </cell>
          <cell r="H61">
            <v>10000000</v>
          </cell>
          <cell r="I61">
            <v>10000000</v>
          </cell>
          <cell r="J61">
            <v>10000000</v>
          </cell>
          <cell r="K61">
            <v>10000000</v>
          </cell>
        </row>
        <row r="62">
          <cell r="B62" t="str">
            <v>E2BA05</v>
          </cell>
          <cell r="C62" t="str">
            <v>Jasa Transportasi Owner (2 unit)</v>
          </cell>
          <cell r="D62" t="str">
            <v>bln</v>
          </cell>
          <cell r="E62">
            <v>10000000</v>
          </cell>
          <cell r="N62">
            <v>10000000</v>
          </cell>
        </row>
        <row r="64">
          <cell r="B64" t="str">
            <v>E1JA01</v>
          </cell>
          <cell r="C64" t="str">
            <v>Tes Material</v>
          </cell>
          <cell r="D64" t="str">
            <v>Ls</v>
          </cell>
          <cell r="E64">
            <v>15</v>
          </cell>
          <cell r="F64" t="e">
            <v>#REF!</v>
          </cell>
          <cell r="G64">
            <v>25</v>
          </cell>
          <cell r="H64">
            <v>25</v>
          </cell>
          <cell r="I64">
            <v>25</v>
          </cell>
          <cell r="J64">
            <v>26.8</v>
          </cell>
          <cell r="K64">
            <v>5</v>
          </cell>
          <cell r="L64">
            <v>26.8</v>
          </cell>
          <cell r="M64">
            <v>26.8</v>
          </cell>
        </row>
        <row r="65">
          <cell r="B65" t="str">
            <v>E1JA02</v>
          </cell>
          <cell r="C65" t="str">
            <v>Galvanizing Jembatan</v>
          </cell>
          <cell r="D65" t="str">
            <v>Kg</v>
          </cell>
          <cell r="E65">
            <v>1520</v>
          </cell>
          <cell r="F65" t="e">
            <v>#REF!</v>
          </cell>
          <cell r="G65">
            <v>1510</v>
          </cell>
          <cell r="H65">
            <v>1510</v>
          </cell>
          <cell r="I65">
            <v>1500</v>
          </cell>
          <cell r="J65">
            <v>1540</v>
          </cell>
          <cell r="K65">
            <v>1450</v>
          </cell>
          <cell r="L65" t="str">
            <v>bukit</v>
          </cell>
          <cell r="M65" t="str">
            <v>bukit</v>
          </cell>
          <cell r="N65">
            <v>1175</v>
          </cell>
        </row>
        <row r="66">
          <cell r="B66" t="str">
            <v>E1JA03</v>
          </cell>
          <cell r="C66" t="str">
            <v>Trial Assembly</v>
          </cell>
          <cell r="D66" t="str">
            <v>Kg</v>
          </cell>
          <cell r="E66">
            <v>250</v>
          </cell>
          <cell r="F66" t="e">
            <v>#REF!</v>
          </cell>
          <cell r="G66">
            <v>250</v>
          </cell>
          <cell r="H66">
            <v>250</v>
          </cell>
          <cell r="I66">
            <v>250</v>
          </cell>
          <cell r="J66">
            <v>250</v>
          </cell>
          <cell r="K66">
            <v>150</v>
          </cell>
          <cell r="L66">
            <v>250</v>
          </cell>
          <cell r="M66">
            <v>250</v>
          </cell>
        </row>
        <row r="67">
          <cell r="B67" t="str">
            <v>E1JA04</v>
          </cell>
          <cell r="C67" t="str">
            <v>Spare Component</v>
          </cell>
          <cell r="D67" t="str">
            <v>Ls</v>
          </cell>
          <cell r="E67">
            <v>0</v>
          </cell>
          <cell r="F67" t="e">
            <v>#REF!</v>
          </cell>
          <cell r="G67">
            <v>1510</v>
          </cell>
          <cell r="H67">
            <v>1510</v>
          </cell>
          <cell r="I67">
            <v>1500</v>
          </cell>
          <cell r="J67">
            <v>1540</v>
          </cell>
          <cell r="K67">
            <v>1450</v>
          </cell>
        </row>
        <row r="69">
          <cell r="B69" t="str">
            <v>E1AA00</v>
          </cell>
          <cell r="C69" t="str">
            <v>Transportasi ke Galvanis Factory</v>
          </cell>
          <cell r="D69" t="str">
            <v>Kg</v>
          </cell>
          <cell r="E69">
            <v>75</v>
          </cell>
          <cell r="F69" t="e">
            <v>#REF!</v>
          </cell>
          <cell r="G69">
            <v>100</v>
          </cell>
          <cell r="H69">
            <v>100</v>
          </cell>
          <cell r="I69">
            <v>100</v>
          </cell>
          <cell r="J69">
            <v>100</v>
          </cell>
          <cell r="K69">
            <v>50</v>
          </cell>
          <cell r="L69">
            <v>50</v>
          </cell>
          <cell r="M69">
            <v>50</v>
          </cell>
        </row>
        <row r="70">
          <cell r="B70" t="str">
            <v>E1AA01</v>
          </cell>
          <cell r="C70" t="str">
            <v>Pengiriman Kembali ke Pabrik WIKA</v>
          </cell>
          <cell r="D70" t="str">
            <v>Kg</v>
          </cell>
          <cell r="E70">
            <v>75</v>
          </cell>
          <cell r="F70" t="e">
            <v>#REF!</v>
          </cell>
          <cell r="G70">
            <v>100</v>
          </cell>
          <cell r="H70">
            <v>100</v>
          </cell>
          <cell r="I70">
            <v>100</v>
          </cell>
          <cell r="J70">
            <v>100</v>
          </cell>
          <cell r="K70">
            <v>50</v>
          </cell>
          <cell r="L70">
            <v>50</v>
          </cell>
          <cell r="M70">
            <v>50</v>
          </cell>
        </row>
        <row r="71">
          <cell r="B71" t="str">
            <v>E1AA02</v>
          </cell>
          <cell r="C71" t="str">
            <v>Pengiriman Raw Material</v>
          </cell>
          <cell r="D71" t="str">
            <v>Kg</v>
          </cell>
          <cell r="E71">
            <v>75</v>
          </cell>
          <cell r="F71" t="e">
            <v>#REF!</v>
          </cell>
          <cell r="G71">
            <v>100</v>
          </cell>
          <cell r="H71">
            <v>100</v>
          </cell>
          <cell r="I71">
            <v>100</v>
          </cell>
          <cell r="J71">
            <v>100</v>
          </cell>
          <cell r="K71">
            <v>50</v>
          </cell>
          <cell r="L71">
            <v>50</v>
          </cell>
          <cell r="M71">
            <v>50</v>
          </cell>
        </row>
        <row r="72">
          <cell r="B72" t="str">
            <v>E1AA03</v>
          </cell>
          <cell r="C72" t="str">
            <v>Link Set</v>
          </cell>
          <cell r="D72" t="str">
            <v>Kg</v>
          </cell>
          <cell r="E72">
            <v>1520</v>
          </cell>
          <cell r="F72" t="e">
            <v>#REF!</v>
          </cell>
          <cell r="G72">
            <v>1510</v>
          </cell>
          <cell r="H72">
            <v>1510</v>
          </cell>
          <cell r="I72">
            <v>1500</v>
          </cell>
          <cell r="J72">
            <v>1540</v>
          </cell>
          <cell r="K72">
            <v>1450</v>
          </cell>
          <cell r="L72">
            <v>1540</v>
          </cell>
          <cell r="M72">
            <v>1540</v>
          </cell>
        </row>
        <row r="73">
          <cell r="B73" t="str">
            <v>E1AA04</v>
          </cell>
          <cell r="C73" t="str">
            <v>Transportasi Surabaya - Jakarta</v>
          </cell>
          <cell r="D73" t="str">
            <v>Kg</v>
          </cell>
        </row>
        <row r="74">
          <cell r="B74" t="str">
            <v>E1AA05</v>
          </cell>
          <cell r="C74" t="str">
            <v>Transportasi Jakarta - Surabaya</v>
          </cell>
          <cell r="D74" t="str">
            <v>Kg</v>
          </cell>
        </row>
        <row r="75">
          <cell r="B75" t="str">
            <v>E1AA06</v>
          </cell>
          <cell r="C75" t="str">
            <v>Transportasi Jagat ke Galvanis Factory</v>
          </cell>
          <cell r="D75" t="str">
            <v>Kg</v>
          </cell>
        </row>
        <row r="76">
          <cell r="B76" t="str">
            <v>E2EA21</v>
          </cell>
          <cell r="C76" t="str">
            <v>Biaya Pabrik</v>
          </cell>
          <cell r="D76" t="str">
            <v>ls</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UMMARY"/>
      <sheetName val="SUMMARY GAS TREATMENT TRAIN C"/>
      <sheetName val="GAS TREATMENT TRAIN C"/>
      <sheetName val="SUMMARY GLYCOL REG. TRAIN C"/>
      <sheetName val="GLYCOL REGENERATION TRAIN C"/>
      <sheetName val="SUMMARY PIPE RACK"/>
      <sheetName val="PIPE RACK"/>
      <sheetName val="SUMMARY COMPR. SHELTER REFRI."/>
      <sheetName val="COMPRESSOR SHELTER REFRI."/>
      <sheetName val="TECHNICAL BUILDING"/>
      <sheetName val="Cover"/>
      <sheetName val="UNITPRICE"/>
    </sheetNames>
    <sheetDataSet>
      <sheetData sheetId="0">
        <row r="4">
          <cell r="D4">
            <v>7.51</v>
          </cell>
        </row>
        <row r="5">
          <cell r="D5">
            <v>2.3550000000000004</v>
          </cell>
        </row>
        <row r="6">
          <cell r="D6">
            <v>22.322485700572823</v>
          </cell>
        </row>
        <row r="7">
          <cell r="D7">
            <v>4.0478107403705383</v>
          </cell>
        </row>
        <row r="8">
          <cell r="D8">
            <v>7.4810090411186376</v>
          </cell>
        </row>
        <row r="9">
          <cell r="D9">
            <v>1.9625000000000001</v>
          </cell>
        </row>
        <row r="10">
          <cell r="D10">
            <v>49.6</v>
          </cell>
        </row>
        <row r="11">
          <cell r="D11">
            <v>3.6311243406265126</v>
          </cell>
        </row>
        <row r="12">
          <cell r="D12">
            <v>7.2920119955204568</v>
          </cell>
        </row>
        <row r="13">
          <cell r="D13">
            <v>2.4661502330679874</v>
          </cell>
        </row>
        <row r="14">
          <cell r="D14">
            <v>28.275148554058905</v>
          </cell>
        </row>
        <row r="15">
          <cell r="D15">
            <v>52.085799968003258</v>
          </cell>
        </row>
        <row r="16">
          <cell r="D16">
            <v>38.69230854765955</v>
          </cell>
        </row>
        <row r="17">
          <cell r="D17">
            <v>78.87278280869063</v>
          </cell>
        </row>
        <row r="18">
          <cell r="D18">
            <v>101.19526850926346</v>
          </cell>
        </row>
        <row r="19">
          <cell r="D19">
            <v>19.346154273829775</v>
          </cell>
        </row>
        <row r="20">
          <cell r="D20">
            <v>46.133137114517169</v>
          </cell>
        </row>
        <row r="21">
          <cell r="D21">
            <v>18.84</v>
          </cell>
        </row>
      </sheetData>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del"/>
      <sheetName val="Eng_Prop"/>
      <sheetName val="Eng_Hrs (2)"/>
      <sheetName val="Eng_Hrs"/>
      <sheetName val="MHRS"/>
      <sheetName val="Con_Hrs"/>
      <sheetName val="Disb_HO"/>
      <sheetName val="Disb_CM"/>
      <sheetName val="Eng_Calc"/>
      <sheetName val="Eng_Exp"/>
      <sheetName val="EXPAT 21"/>
      <sheetName val="FLUOR 29"/>
      <sheetName val="NONS 84"/>
      <sheetName val="STAFF 158"/>
      <sheetName val="SO 38"/>
      <sheetName val="DUTCH CONE"/>
      <sheetName val="Ins"/>
      <sheetName val="USD 0107"/>
      <sheetName val="USD 0207"/>
      <sheetName val="IDR 0207"/>
      <sheetName val="IDR 0107"/>
      <sheetName val="slab"/>
      <sheetName val="BoQ"/>
      <sheetName val="SchC"/>
      <sheetName val="SchA"/>
      <sheetName val="SewAlat"/>
      <sheetName val="SchB"/>
      <sheetName val="SchD"/>
      <sheetName val="Sum"/>
      <sheetName val="PMT"/>
      <sheetName val="Model-EBIT"/>
      <sheetName val="PropSum"/>
      <sheetName val="SLO"/>
      <sheetName val="Eng_Hrs (HO)"/>
      <sheetName val="Eng_Hrs (SOP)"/>
      <sheetName val="Eng_Hrs (SOA)"/>
      <sheetName val="Software"/>
      <sheetName val="equip"/>
      <sheetName val="OrgRates2000"/>
      <sheetName val="Process"/>
      <sheetName val="civil 1"/>
      <sheetName val="PROC"/>
      <sheetName val="MNG"/>
      <sheetName val="ELEC INST"/>
      <sheetName val="PCONTROLS"/>
      <sheetName val="PM_MHRS"/>
      <sheetName val="Equipment"/>
      <sheetName val="BillingRATES"/>
      <sheetName val="Names"/>
      <sheetName val="Contents"/>
      <sheetName val="351BQMCN"/>
      <sheetName val="LV-MOTOR"/>
      <sheetName val="database-emp"/>
      <sheetName val="B.1 Engineering"/>
      <sheetName val="B.2.6 Proc HSE MT"/>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B.3 Pre Com &amp; Start Up"/>
      <sheetName val="Work Permit"/>
      <sheetName val="data"/>
      <sheetName val="abk.04.awalr+co+tab.rups"/>
      <sheetName val="rms mek"/>
      <sheetName val="STRUKTUR"/>
      <sheetName val="geo-A1"/>
      <sheetName val="geo-A2"/>
      <sheetName val="geo-B"/>
      <sheetName val="Panel"/>
      <sheetName val="FAI4"/>
      <sheetName val="cbo"/>
      <sheetName val="Notes"/>
      <sheetName val="Form-04B"/>
      <sheetName val="Sheet2"/>
      <sheetName val="19. drill CD6"/>
      <sheetName val="Dsr Hitung"/>
      <sheetName val="DWTables"/>
      <sheetName val="Data Base"/>
      <sheetName val="Quantity"/>
      <sheetName val="lk"/>
      <sheetName val="A.1 Project Management EPCC"/>
      <sheetName val="EE-PROP"/>
      <sheetName val="2.4.10. Building WP4"/>
      <sheetName val="2.4.11. Building WP5"/>
      <sheetName val="2.4.12. Building OTHERS"/>
      <sheetName val="2.4.2. Civil WP2"/>
      <sheetName val="2.4.3. Civil WP3"/>
      <sheetName val="2.4.4. Civil WP4"/>
      <sheetName val="2.4.5. Civil WP5"/>
      <sheetName val="2.4.6. Civil OTHERS"/>
      <sheetName val="2.4.8. Building WP2"/>
      <sheetName val="2.4.9. Building WP3"/>
      <sheetName val="Staffing Plan"/>
      <sheetName val="COVER"/>
      <sheetName val="Page 1"/>
    </sheetNames>
    <sheetDataSet>
      <sheetData sheetId="0"/>
      <sheetData sheetId="1"/>
      <sheetData sheetId="2"/>
      <sheetData sheetId="3"/>
      <sheetData sheetId="4" refreshError="1">
        <row r="14">
          <cell r="AE14">
            <v>0</v>
          </cell>
        </row>
        <row r="15">
          <cell r="AE15">
            <v>0</v>
          </cell>
        </row>
        <row r="16">
          <cell r="AE16">
            <v>0</v>
          </cell>
        </row>
        <row r="17">
          <cell r="AE17">
            <v>0</v>
          </cell>
        </row>
        <row r="18">
          <cell r="AE18">
            <v>0</v>
          </cell>
        </row>
        <row r="19">
          <cell r="AE19">
            <v>0</v>
          </cell>
        </row>
        <row r="20">
          <cell r="AE20">
            <v>0</v>
          </cell>
        </row>
        <row r="22">
          <cell r="AE22">
            <v>0</v>
          </cell>
        </row>
        <row r="25">
          <cell r="AE25">
            <v>0</v>
          </cell>
        </row>
        <row r="27">
          <cell r="AE27">
            <v>0</v>
          </cell>
        </row>
        <row r="30">
          <cell r="AE30">
            <v>0</v>
          </cell>
        </row>
        <row r="31">
          <cell r="AE31">
            <v>0</v>
          </cell>
        </row>
        <row r="32">
          <cell r="AE32">
            <v>0</v>
          </cell>
        </row>
        <row r="33">
          <cell r="AE33">
            <v>0</v>
          </cell>
        </row>
        <row r="35">
          <cell r="AE35">
            <v>0</v>
          </cell>
        </row>
        <row r="38">
          <cell r="AE38">
            <v>0</v>
          </cell>
        </row>
        <row r="39">
          <cell r="AE39">
            <v>0</v>
          </cell>
        </row>
        <row r="40">
          <cell r="AE40">
            <v>0</v>
          </cell>
        </row>
        <row r="41">
          <cell r="AE41">
            <v>0</v>
          </cell>
        </row>
        <row r="42">
          <cell r="AE42">
            <v>0</v>
          </cell>
        </row>
        <row r="43">
          <cell r="AE43">
            <v>0</v>
          </cell>
        </row>
        <row r="44">
          <cell r="AE44">
            <v>0</v>
          </cell>
        </row>
        <row r="46">
          <cell r="AE46">
            <v>0</v>
          </cell>
        </row>
        <row r="49">
          <cell r="AE49">
            <v>0</v>
          </cell>
        </row>
        <row r="50">
          <cell r="AE50">
            <v>0</v>
          </cell>
        </row>
        <row r="51">
          <cell r="AE51">
            <v>0</v>
          </cell>
        </row>
        <row r="52">
          <cell r="AE52">
            <v>0</v>
          </cell>
        </row>
        <row r="53">
          <cell r="AE53">
            <v>0</v>
          </cell>
        </row>
        <row r="54">
          <cell r="AE54">
            <v>0</v>
          </cell>
        </row>
        <row r="55">
          <cell r="AE55">
            <v>0</v>
          </cell>
        </row>
        <row r="56">
          <cell r="AE56">
            <v>0</v>
          </cell>
        </row>
        <row r="57">
          <cell r="AE57">
            <v>0</v>
          </cell>
        </row>
        <row r="58">
          <cell r="AE58">
            <v>0</v>
          </cell>
        </row>
        <row r="59">
          <cell r="AE59">
            <v>0</v>
          </cell>
        </row>
        <row r="60">
          <cell r="AE60">
            <v>0</v>
          </cell>
        </row>
        <row r="61">
          <cell r="AE61">
            <v>0</v>
          </cell>
        </row>
        <row r="62">
          <cell r="AE62">
            <v>0</v>
          </cell>
        </row>
        <row r="63">
          <cell r="AE63">
            <v>0</v>
          </cell>
        </row>
        <row r="64">
          <cell r="AE64">
            <v>0</v>
          </cell>
        </row>
        <row r="65">
          <cell r="AE65">
            <v>0</v>
          </cell>
        </row>
        <row r="66">
          <cell r="AE66">
            <v>0</v>
          </cell>
        </row>
        <row r="67">
          <cell r="AE67">
            <v>0</v>
          </cell>
        </row>
        <row r="68">
          <cell r="AE68">
            <v>0</v>
          </cell>
        </row>
        <row r="69">
          <cell r="AE69">
            <v>0</v>
          </cell>
        </row>
        <row r="70">
          <cell r="AE70">
            <v>0</v>
          </cell>
        </row>
        <row r="71">
          <cell r="AE71">
            <v>0</v>
          </cell>
        </row>
        <row r="72">
          <cell r="AE72">
            <v>0</v>
          </cell>
        </row>
        <row r="73">
          <cell r="AE73">
            <v>0</v>
          </cell>
        </row>
        <row r="75">
          <cell r="AE75">
            <v>0</v>
          </cell>
        </row>
        <row r="78">
          <cell r="AE78">
            <v>0</v>
          </cell>
        </row>
        <row r="79">
          <cell r="AE79">
            <v>0</v>
          </cell>
        </row>
        <row r="80">
          <cell r="AE80">
            <v>0</v>
          </cell>
        </row>
        <row r="81">
          <cell r="AE81">
            <v>0</v>
          </cell>
        </row>
        <row r="82">
          <cell r="AE82">
            <v>0</v>
          </cell>
        </row>
        <row r="83">
          <cell r="AE83">
            <v>0</v>
          </cell>
        </row>
        <row r="85">
          <cell r="AE85">
            <v>0</v>
          </cell>
        </row>
        <row r="88">
          <cell r="AE88">
            <v>0</v>
          </cell>
        </row>
        <row r="89">
          <cell r="AE89">
            <v>0</v>
          </cell>
        </row>
        <row r="90">
          <cell r="AE90">
            <v>0</v>
          </cell>
        </row>
        <row r="91">
          <cell r="AE91">
            <v>0</v>
          </cell>
        </row>
        <row r="92">
          <cell r="AE92">
            <v>0</v>
          </cell>
        </row>
        <row r="93">
          <cell r="AE93">
            <v>0</v>
          </cell>
        </row>
        <row r="94">
          <cell r="AE94">
            <v>0</v>
          </cell>
        </row>
        <row r="95">
          <cell r="AE95">
            <v>0</v>
          </cell>
        </row>
        <row r="96">
          <cell r="AE96">
            <v>0</v>
          </cell>
        </row>
        <row r="98">
          <cell r="AE98">
            <v>0</v>
          </cell>
        </row>
        <row r="101">
          <cell r="AE101">
            <v>0</v>
          </cell>
        </row>
        <row r="102">
          <cell r="AE102">
            <v>0</v>
          </cell>
        </row>
        <row r="104">
          <cell r="AE104">
            <v>0</v>
          </cell>
        </row>
        <row r="107">
          <cell r="AE107">
            <v>0</v>
          </cell>
        </row>
        <row r="109">
          <cell r="AE109">
            <v>0</v>
          </cell>
        </row>
        <row r="112">
          <cell r="AE112">
            <v>0</v>
          </cell>
        </row>
        <row r="113">
          <cell r="AE113">
            <v>0</v>
          </cell>
        </row>
        <row r="115">
          <cell r="AE115">
            <v>0</v>
          </cell>
        </row>
        <row r="116">
          <cell r="AE116">
            <v>0</v>
          </cell>
        </row>
        <row r="120">
          <cell r="AE120">
            <v>0</v>
          </cell>
        </row>
        <row r="121">
          <cell r="AE121">
            <v>0</v>
          </cell>
        </row>
        <row r="122">
          <cell r="AE122">
            <v>0</v>
          </cell>
        </row>
        <row r="123">
          <cell r="AE123">
            <v>0</v>
          </cell>
        </row>
        <row r="125">
          <cell r="AE125">
            <v>0</v>
          </cell>
        </row>
        <row r="128">
          <cell r="AE128">
            <v>0</v>
          </cell>
        </row>
        <row r="129">
          <cell r="AE129">
            <v>0</v>
          </cell>
        </row>
        <row r="130">
          <cell r="AE130">
            <v>0</v>
          </cell>
        </row>
        <row r="131">
          <cell r="AE131">
            <v>0</v>
          </cell>
        </row>
        <row r="132">
          <cell r="AE132">
            <v>0</v>
          </cell>
        </row>
        <row r="133">
          <cell r="AE133">
            <v>0</v>
          </cell>
        </row>
        <row r="135">
          <cell r="AE135">
            <v>0</v>
          </cell>
        </row>
        <row r="138">
          <cell r="AE138">
            <v>0</v>
          </cell>
        </row>
        <row r="139">
          <cell r="AE139">
            <v>0</v>
          </cell>
        </row>
        <row r="140">
          <cell r="AE140">
            <v>0</v>
          </cell>
        </row>
        <row r="142">
          <cell r="AE142">
            <v>0</v>
          </cell>
        </row>
        <row r="145">
          <cell r="AE145">
            <v>0</v>
          </cell>
        </row>
        <row r="147">
          <cell r="AE147">
            <v>0</v>
          </cell>
        </row>
        <row r="150">
          <cell r="AE150">
            <v>0</v>
          </cell>
        </row>
        <row r="152">
          <cell r="AE152">
            <v>0</v>
          </cell>
        </row>
        <row r="155">
          <cell r="AE155">
            <v>0</v>
          </cell>
        </row>
        <row r="157">
          <cell r="AE157">
            <v>0</v>
          </cell>
        </row>
        <row r="158">
          <cell r="AE158">
            <v>0</v>
          </cell>
        </row>
        <row r="160">
          <cell r="AE160">
            <v>0</v>
          </cell>
        </row>
        <row r="163">
          <cell r="AE163">
            <v>0</v>
          </cell>
        </row>
        <row r="164">
          <cell r="AE164">
            <v>0</v>
          </cell>
        </row>
        <row r="165">
          <cell r="AE165">
            <v>0</v>
          </cell>
        </row>
        <row r="166">
          <cell r="AE166">
            <v>0</v>
          </cell>
        </row>
        <row r="167">
          <cell r="AE167">
            <v>0</v>
          </cell>
        </row>
        <row r="168">
          <cell r="AE168">
            <v>0</v>
          </cell>
        </row>
        <row r="169">
          <cell r="AE169">
            <v>0</v>
          </cell>
        </row>
        <row r="170">
          <cell r="AE170" t="e">
            <v>#DIV/0!</v>
          </cell>
        </row>
        <row r="171">
          <cell r="AE171">
            <v>0</v>
          </cell>
        </row>
        <row r="172">
          <cell r="AE172">
            <v>0</v>
          </cell>
        </row>
        <row r="173">
          <cell r="AE173" t="e">
            <v>#DIV/0!</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LLIST"/>
      <sheetName val="PLANTLIST"/>
      <sheetName val="EXPAT 17"/>
      <sheetName val="FLUOR 26"/>
      <sheetName val="NONS 67"/>
      <sheetName val="SO 8"/>
      <sheetName val="STAFF 136"/>
      <sheetName val="Sheet2"/>
      <sheetName val="ASUNSUB1"/>
      <sheetName val="AS1MODD"/>
      <sheetName val="COPPER ACCESS"/>
      <sheetName val="Vehicle"/>
      <sheetName val="AssumptionValue"/>
      <sheetName val="PConsCS"/>
      <sheetName val="dia-in"/>
      <sheetName val="Kota Batak (Plan VS Actual)"/>
      <sheetName val="Eng_Hrs"/>
      <sheetName val="ExcRate"/>
      <sheetName val="Step"/>
      <sheetName val="51-PSV8008L"/>
      <sheetName val="MH RATE"/>
      <sheetName val="MOTOR DATA"/>
      <sheetName val="database-emp"/>
      <sheetName val="BQ 9june08(print)"/>
      <sheetName val="GammaEquivalents"/>
      <sheetName val="GEN"/>
      <sheetName val="Break_down"/>
      <sheetName val="Data Base"/>
      <sheetName val="BoQ"/>
      <sheetName val="Coupling"/>
      <sheetName val="Labor"/>
      <sheetName val="NAME"/>
      <sheetName val="eqp-rek"/>
      <sheetName val="Indeks"/>
      <sheetName val="BoQ C4"/>
      <sheetName val="Isolasi Luar Dalam"/>
      <sheetName val="Isolasi Luar"/>
      <sheetName val="PDMP"/>
      <sheetName val="PCE"/>
      <sheetName val="PRODUK"/>
      <sheetName val="TOOL-ME"/>
      <sheetName val="SILICATE"/>
      <sheetName val="EMS"/>
      <sheetName val="적용환율"/>
      <sheetName val="CBLLIST.XLS"/>
      <sheetName val="List of SSR"/>
      <sheetName val="DUTCH CONE"/>
      <sheetName val="TestEquSch OK"/>
      <sheetName val="LIST1"/>
      <sheetName val="Daf-Rek"/>
      <sheetName val="Consumable"/>
      <sheetName val="Equipment"/>
      <sheetName val="Breakdown Cost"/>
      <sheetName val="#REF!"/>
      <sheetName val="ｵﾝｰｵﾌ弁"/>
      <sheetName val="351BQMCN"/>
      <sheetName val="L-Mechanical"/>
      <sheetName val="IDC Monitoring Sht"/>
      <sheetName val="chitimc"/>
      <sheetName val="APP-9"/>
      <sheetName val="slab"/>
      <sheetName val="ERECTION"/>
      <sheetName val="G_SUMMARY"/>
      <sheetName val="LISTRIK"/>
      <sheetName val="F ALARM"/>
      <sheetName val="L_Mechanical"/>
      <sheetName val="EXTERNAL WORK"/>
      <sheetName val="bill qty"/>
      <sheetName val=" BoQ Green Field option 1"/>
      <sheetName val="Est-Mat"/>
      <sheetName val="Data"/>
      <sheetName val="vessel weight"/>
      <sheetName val="A"/>
      <sheetName val="labor1"/>
      <sheetName val="table"/>
      <sheetName val="General"/>
      <sheetName val="\\Trh\electrical\ELECTRIC\FEED\"/>
      <sheetName val="\from COmpi\LIRI\EPCI\Cost Esti"/>
      <sheetName val="PMR"/>
      <sheetName val="WBS ENG"/>
      <sheetName val="WBS GEO"/>
      <sheetName val="WBS TOPO"/>
      <sheetName val="Settings"/>
      <sheetName val="ANAL.BOW"/>
      <sheetName val="B-WASH.1"/>
      <sheetName val="B-WASH.2"/>
      <sheetName val="CHEM.1"/>
      <sheetName val="C-AIR.1"/>
      <sheetName val="I-AIR.1"/>
      <sheetName val="I-AIR.2"/>
      <sheetName val="C94151"/>
      <sheetName val="control"/>
      <sheetName val="dtxl"/>
      <sheetName val="UNIT 3"/>
      <sheetName val="V-1-1002bid"/>
      <sheetName val="NERACA"/>
      <sheetName val="LABARUGI"/>
      <sheetName val="Basic Price "/>
      <sheetName val="Ref"/>
      <sheetName val="from client's representative"/>
      <sheetName val="Assumption"/>
      <sheetName val="TB3"/>
      <sheetName val="EXPAT_17"/>
      <sheetName val="FLUOR_26"/>
      <sheetName val="NONS_67"/>
      <sheetName val="SO_8"/>
      <sheetName val="STAFF_136"/>
      <sheetName val="BQ_9june08(print)"/>
      <sheetName val="COPPER_ACCESS"/>
      <sheetName val="Kota_Batak_(Plan_VS_Actual)"/>
      <sheetName val="MH_RATE"/>
      <sheetName val="MOTOR_DATA"/>
      <sheetName val="List_of_SSR"/>
      <sheetName val="DUTCH_CONE"/>
      <sheetName val="Isolasi_Luar_Dalam"/>
      <sheetName val="Isolasi_Luar"/>
      <sheetName val="Data_Base"/>
      <sheetName val="BoQ_C4"/>
      <sheetName val="TestEquSch_OK"/>
      <sheetName val="CBLLIST_XLS"/>
      <sheetName val="Breakdown_Cost"/>
      <sheetName val="IDC_Monitoring_Sht"/>
      <sheetName val="F_ALARM"/>
      <sheetName val="EXTERNAL_WORK"/>
      <sheetName val="bill_qty"/>
      <sheetName val="_BoQ_Green_Field_option_1"/>
      <sheetName val="LV-MOTOR"/>
      <sheetName val="Config"/>
      <sheetName val="REP"/>
      <sheetName val="Value"/>
      <sheetName val="PP-8000AB"/>
      <sheetName val="MING"/>
      <sheetName val="Tabel"/>
      <sheetName val="PercenDiv"/>
      <sheetName val="AC-C"/>
      <sheetName val="KEWAJARAN HARGA"/>
      <sheetName val="DHS"/>
      <sheetName val="Data Event PAF UP2"/>
      <sheetName val="BM"/>
      <sheetName val="Proc"/>
      <sheetName val="__Trh_electrical_ELECTRIC_FEED_"/>
      <sheetName val="_from COmpi_LIRI_EPCI_Cost Esti"/>
      <sheetName val="ESTIMASI"/>
      <sheetName val="COSTCODE"/>
      <sheetName val="3. Monthly rate"/>
      <sheetName val="(2)BANGUNAN PENUNJANG"/>
      <sheetName val="Bid-Tab"/>
      <sheetName val="Rinci sekt 13-14"/>
      <sheetName val="NRC_2"/>
      <sheetName val="SUM"/>
      <sheetName val="IS"/>
      <sheetName val="5500"/>
      <sheetName val="6100"/>
      <sheetName val="5200"/>
      <sheetName val="7000"/>
      <sheetName val="5100"/>
      <sheetName val="5300 &amp; 6400"/>
      <sheetName val="5400"/>
      <sheetName val="LP_1"/>
      <sheetName val="POKOK_POKOK_NEW"/>
      <sheetName val="exch"/>
      <sheetName val="GeneralInfo"/>
      <sheetName val="Purchase Order (2)"/>
      <sheetName val="Customize Your Purchase Order"/>
      <sheetName val="Matrik Bioanggaran"/>
      <sheetName val="5"/>
      <sheetName val="BBCA"/>
      <sheetName val="N-HMSP"/>
      <sheetName val="MEDCN"/>
      <sheetName val="Parameter"/>
      <sheetName val="N-ASII"/>
      <sheetName val="Rekap"/>
      <sheetName val="Ex_Rate"/>
      <sheetName val="LAMKOM"/>
      <sheetName val="Kartu"/>
      <sheetName val="Hardas"/>
      <sheetName val="MAPDC"/>
      <sheetName val="PBC - Detail BS - 2010"/>
      <sheetName val="tb-cy"/>
      <sheetName val="NAMA DEPT"/>
      <sheetName val="ANAL_BOW"/>
      <sheetName val="B-WASH_1"/>
      <sheetName val="B-WASH_2"/>
      <sheetName val="CHEM_1"/>
      <sheetName val="C-AIR_1"/>
      <sheetName val="I-AIR_1"/>
      <sheetName val="I-AIR_2"/>
      <sheetName val="vessel_weight"/>
      <sheetName val="data-3"/>
      <sheetName val="data-2"/>
      <sheetName val="REFERENCE"/>
      <sheetName val="SBY"/>
      <sheetName val="S-Hotel"/>
      <sheetName val="Lamp 1 - Unit Rate"/>
      <sheetName val="GA MYOB"/>
      <sheetName val="TABLE EQUIPMENT"/>
      <sheetName val="RESIDU"/>
      <sheetName val="HPP"/>
      <sheetName val="REVENUE-05"/>
      <sheetName val="REVENUE-10"/>
      <sheetName val="REVENUE-11"/>
      <sheetName val="REVENUE-08"/>
      <sheetName val="REVENUE-09"/>
      <sheetName val="Market Positioning"/>
      <sheetName val="P&amp;L"/>
      <sheetName val="Data Rekening"/>
      <sheetName val="Input"/>
      <sheetName val="Summary"/>
      <sheetName val="P3"/>
      <sheetName val="Total Load List"/>
      <sheetName val="COVER"/>
      <sheetName val="BOQINT"/>
      <sheetName val="RAB"/>
      <sheetName val="Index"/>
      <sheetName val="rab g. menara pengawas"/>
      <sheetName val="Code"/>
      <sheetName val="SEX"/>
      <sheetName val="HARGA MATERIAL"/>
      <sheetName val="6a Rekap"/>
      <sheetName val="Dic"/>
      <sheetName val="Sheet1"/>
      <sheetName val="Rumus"/>
      <sheetName val="Asumsi"/>
      <sheetName val="statoil"/>
      <sheetName val="E To  M"/>
      <sheetName val="Refresh"/>
      <sheetName val="C"/>
      <sheetName val="RAW"/>
      <sheetName val="str"/>
      <sheetName val="EQ_an"/>
      <sheetName val="Klm-Mnl"/>
      <sheetName val="H.Satuan"/>
      <sheetName val="DWTables"/>
      <sheetName val="Connections"/>
      <sheetName val="H_ Dasar"/>
      <sheetName val="EE-PROP"/>
      <sheetName val="5-Peralatan"/>
      <sheetName val="Summary Bare Cost"/>
      <sheetName val="H_Satuan"/>
      <sheetName val="Costs"/>
      <sheetName val="BalSht"/>
      <sheetName val="dwa-01"/>
      <sheetName val="BoQ SKHN DETAIL"/>
      <sheetName val="Vendors"/>
      <sheetName val="BQLIST"/>
      <sheetName val="Adm histogram"/>
      <sheetName val="Service_Rates"/>
      <sheetName val="FSO2"/>
      <sheetName val="CashFlow"/>
      <sheetName val="OrgRates2000"/>
      <sheetName val="Eng_Hrs _HO_"/>
      <sheetName val="struktur"/>
      <sheetName val="Resources (3)"/>
      <sheetName val="TBM"/>
      <sheetName val="Scenarios and Sensitivities"/>
      <sheetName val="Global Assumptions"/>
      <sheetName val="Operations"/>
      <sheetName val="Financials"/>
      <sheetName val="BAG-2"/>
      <sheetName val="costing_ESDV"/>
      <sheetName val="costing_FE"/>
      <sheetName val="costing_Misc"/>
      <sheetName val="costing_MOV"/>
      <sheetName val="costing_Press"/>
      <sheetName val="Cable Control"/>
      <sheetName val="Labor Paint"/>
      <sheetName val="Type 57  A"/>
      <sheetName val="Rekap A"/>
      <sheetName val="bahan"/>
      <sheetName val="3-DIV2"/>
      <sheetName val="SUMMARY PAGE"/>
      <sheetName val="FIRE FIGHTING"/>
      <sheetName val="Bid Summary"/>
      <sheetName val="data1"/>
    </sheetNames>
    <definedNames>
      <definedName name="ExtractData"/>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Form"/>
      <sheetName val="Sum"/>
      <sheetName val="Breakdown (2)"/>
      <sheetName val="PMT"/>
      <sheetName val="Struct &amp; Instr"/>
      <sheetName val="WO #252 Infill Well 2009 - Site"/>
      <sheetName val="Eng_Hrs"/>
      <sheetName val="ASUNSUB1"/>
      <sheetName val="AS1MODD"/>
      <sheetName val="COPPER ACCESS"/>
      <sheetName val="Sheet2"/>
      <sheetName val="SD (1)"/>
    </sheetNames>
    <sheetDataSet>
      <sheetData sheetId="0"/>
      <sheetData sheetId="1"/>
      <sheetData sheetId="2"/>
      <sheetData sheetId="3">
        <row r="22">
          <cell r="F22">
            <v>10</v>
          </cell>
          <cell r="H22">
            <v>0</v>
          </cell>
          <cell r="J22">
            <v>20</v>
          </cell>
          <cell r="K22">
            <v>30</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9&amp;36,3"/>
      <sheetName val="Sch vs Vol"/>
      <sheetName val="Sch vs Vol (2)"/>
      <sheetName val="Sch vs Vol (3)"/>
      <sheetName val="Sch vs Vol (4)"/>
      <sheetName val="SDM"/>
      <sheetName val="Equip"/>
      <sheetName val="Mat"/>
      <sheetName val="Sub"/>
      <sheetName val="CashFlow"/>
      <sheetName val="PMT"/>
      <sheetName val="AssumptionValue"/>
      <sheetName val="Ins"/>
      <sheetName val="Sharing factors"/>
      <sheetName val="Severance"/>
      <sheetName val="labor1"/>
      <sheetName val="Ind.MP Sch."/>
      <sheetName val="Input monthly capex"/>
      <sheetName val="INSSUBCON"/>
      <sheetName val="PaintBreak"/>
      <sheetName val="CTRs (HOURS) "/>
      <sheetName val="Reference"/>
      <sheetName val="lamp-3.1"/>
      <sheetName val="NewP90"/>
      <sheetName val="OrigP10"/>
      <sheetName val="OrigP50"/>
      <sheetName val="Labor"/>
      <sheetName val="Analisa"/>
      <sheetName val="Schedule Intern Rev 01"/>
    </sheetNames>
    <sheetDataSet>
      <sheetData sheetId="0" refreshError="1">
        <row r="11">
          <cell r="B11" t="str">
            <v>CHORD</v>
          </cell>
          <cell r="E11">
            <v>30</v>
          </cell>
          <cell r="F11">
            <v>12778</v>
          </cell>
          <cell r="G11">
            <v>178892</v>
          </cell>
          <cell r="H11">
            <v>420</v>
          </cell>
          <cell r="I11">
            <v>34</v>
          </cell>
          <cell r="J11">
            <v>15646</v>
          </cell>
          <cell r="K11">
            <v>31292</v>
          </cell>
          <cell r="L11">
            <v>68</v>
          </cell>
          <cell r="M11">
            <v>38</v>
          </cell>
          <cell r="N11">
            <v>20288</v>
          </cell>
          <cell r="O11">
            <v>162304</v>
          </cell>
          <cell r="P11">
            <v>304</v>
          </cell>
          <cell r="Q11">
            <v>1.05</v>
          </cell>
          <cell r="R11">
            <v>13416.900000000001</v>
          </cell>
          <cell r="S11">
            <v>26833.800000000003</v>
          </cell>
          <cell r="T11">
            <v>28063.476064109378</v>
          </cell>
          <cell r="U11">
            <v>0.91</v>
          </cell>
          <cell r="V11">
            <v>11627.98</v>
          </cell>
          <cell r="W11">
            <v>23255.96</v>
          </cell>
          <cell r="X11">
            <v>24321.679255561459</v>
          </cell>
        </row>
        <row r="12">
          <cell r="B12" t="str">
            <v>CM1A</v>
          </cell>
          <cell r="C12" t="str">
            <v>H294x302x12x12 - 4740</v>
          </cell>
          <cell r="D12">
            <v>401</v>
          </cell>
          <cell r="E12">
            <v>8</v>
          </cell>
          <cell r="F12">
            <v>3208</v>
          </cell>
          <cell r="G12">
            <v>44912</v>
          </cell>
          <cell r="H12">
            <v>112</v>
          </cell>
          <cell r="I12">
            <v>8</v>
          </cell>
          <cell r="J12">
            <v>3208</v>
          </cell>
          <cell r="K12">
            <v>6416</v>
          </cell>
          <cell r="L12">
            <v>16</v>
          </cell>
          <cell r="M12">
            <v>8</v>
          </cell>
          <cell r="N12">
            <v>3208</v>
          </cell>
          <cell r="O12">
            <v>25664</v>
          </cell>
          <cell r="P12">
            <v>64</v>
          </cell>
          <cell r="Y12">
            <v>192</v>
          </cell>
          <cell r="Z12" t="str">
            <v>H294x302x12x12 - 9500</v>
          </cell>
          <cell r="AA12">
            <v>802.8</v>
          </cell>
          <cell r="AB12">
            <v>84.505263157894731</v>
          </cell>
          <cell r="AC12">
            <v>96</v>
          </cell>
          <cell r="AD12">
            <v>0</v>
          </cell>
          <cell r="AE12">
            <v>0</v>
          </cell>
          <cell r="AF12">
            <v>1.9999999999999574E-2</v>
          </cell>
          <cell r="AH12">
            <v>1.6901052631578586</v>
          </cell>
          <cell r="AI12">
            <v>0</v>
          </cell>
        </row>
        <row r="13">
          <cell r="B13" t="str">
            <v>CM1</v>
          </cell>
          <cell r="C13" t="str">
            <v>H294x302x12x12 - 4930</v>
          </cell>
          <cell r="D13">
            <v>417</v>
          </cell>
          <cell r="E13">
            <v>16</v>
          </cell>
          <cell r="F13">
            <v>6672</v>
          </cell>
          <cell r="G13">
            <v>93408</v>
          </cell>
          <cell r="H13">
            <v>224</v>
          </cell>
          <cell r="I13">
            <v>12</v>
          </cell>
          <cell r="J13">
            <v>5004</v>
          </cell>
          <cell r="K13">
            <v>10008</v>
          </cell>
          <cell r="L13">
            <v>24</v>
          </cell>
          <cell r="M13">
            <v>8</v>
          </cell>
          <cell r="N13">
            <v>3336</v>
          </cell>
          <cell r="O13">
            <v>26688</v>
          </cell>
          <cell r="P13">
            <v>64</v>
          </cell>
          <cell r="Y13">
            <v>312</v>
          </cell>
          <cell r="Z13" t="str">
            <v>H294x302x12x12 - 10000</v>
          </cell>
          <cell r="AA13">
            <v>845</v>
          </cell>
          <cell r="AB13">
            <v>84.5</v>
          </cell>
          <cell r="AC13">
            <v>204</v>
          </cell>
          <cell r="AD13">
            <v>48</v>
          </cell>
          <cell r="AE13">
            <v>0</v>
          </cell>
          <cell r="AF13">
            <v>0.14000000000000057</v>
          </cell>
          <cell r="AH13">
            <v>405611.83</v>
          </cell>
        </row>
        <row r="14">
          <cell r="B14" t="str">
            <v>CM2</v>
          </cell>
          <cell r="C14" t="str">
            <v>H300x300x10x15 - 4930</v>
          </cell>
          <cell r="D14">
            <v>463</v>
          </cell>
          <cell r="E14">
            <v>4</v>
          </cell>
          <cell r="F14">
            <v>1852</v>
          </cell>
          <cell r="G14">
            <v>25928</v>
          </cell>
          <cell r="H14">
            <v>56</v>
          </cell>
          <cell r="I14">
            <v>6</v>
          </cell>
          <cell r="J14">
            <v>2778</v>
          </cell>
          <cell r="K14">
            <v>5556</v>
          </cell>
          <cell r="L14">
            <v>12</v>
          </cell>
          <cell r="M14">
            <v>4</v>
          </cell>
          <cell r="N14">
            <v>1852</v>
          </cell>
          <cell r="O14">
            <v>14816</v>
          </cell>
          <cell r="P14">
            <v>32</v>
          </cell>
          <cell r="Y14">
            <v>100</v>
          </cell>
          <cell r="Z14" t="str">
            <v>H300x300x10x15 - 10000</v>
          </cell>
          <cell r="AA14">
            <v>940</v>
          </cell>
          <cell r="AB14">
            <v>94</v>
          </cell>
          <cell r="AC14">
            <v>60</v>
          </cell>
          <cell r="AD14">
            <v>10</v>
          </cell>
          <cell r="AE14">
            <v>0</v>
          </cell>
          <cell r="AF14">
            <v>0.14000000000000057</v>
          </cell>
          <cell r="AH14">
            <v>94013.16</v>
          </cell>
        </row>
        <row r="15">
          <cell r="B15" t="str">
            <v>CM3</v>
          </cell>
          <cell r="C15" t="str">
            <v>H304x301x11x17 - 4930</v>
          </cell>
          <cell r="D15">
            <v>523</v>
          </cell>
          <cell r="E15">
            <v>2</v>
          </cell>
          <cell r="F15">
            <v>1046</v>
          </cell>
          <cell r="G15">
            <v>14644</v>
          </cell>
          <cell r="H15">
            <v>28</v>
          </cell>
          <cell r="I15">
            <v>4</v>
          </cell>
          <cell r="J15">
            <v>2092</v>
          </cell>
          <cell r="K15">
            <v>4184</v>
          </cell>
          <cell r="L15">
            <v>8</v>
          </cell>
          <cell r="M15">
            <v>0</v>
          </cell>
          <cell r="N15">
            <v>0</v>
          </cell>
          <cell r="O15">
            <v>0</v>
          </cell>
          <cell r="P15">
            <v>0</v>
          </cell>
          <cell r="Y15">
            <v>36</v>
          </cell>
          <cell r="Z15" t="str">
            <v>H304x301x11x17 - 10000</v>
          </cell>
          <cell r="AA15">
            <v>1060</v>
          </cell>
          <cell r="AB15">
            <v>106</v>
          </cell>
          <cell r="AC15">
            <v>24</v>
          </cell>
          <cell r="AD15">
            <v>6</v>
          </cell>
          <cell r="AE15">
            <v>0</v>
          </cell>
          <cell r="AF15">
            <v>0.14000000000000057</v>
          </cell>
          <cell r="AH15">
            <v>63614.84</v>
          </cell>
        </row>
        <row r="16">
          <cell r="B16" t="str">
            <v>CM4</v>
          </cell>
          <cell r="C16" t="str">
            <v>H310x305x15x20 - 4930</v>
          </cell>
          <cell r="D16">
            <v>641</v>
          </cell>
          <cell r="E16">
            <v>0</v>
          </cell>
          <cell r="F16">
            <v>0</v>
          </cell>
          <cell r="G16">
            <v>0</v>
          </cell>
          <cell r="H16">
            <v>0</v>
          </cell>
          <cell r="I16">
            <v>4</v>
          </cell>
          <cell r="J16">
            <v>2564</v>
          </cell>
          <cell r="K16">
            <v>5128</v>
          </cell>
          <cell r="L16">
            <v>8</v>
          </cell>
          <cell r="M16">
            <v>12</v>
          </cell>
          <cell r="N16">
            <v>7692</v>
          </cell>
          <cell r="O16">
            <v>61536</v>
          </cell>
          <cell r="P16">
            <v>96</v>
          </cell>
          <cell r="Y16">
            <v>104</v>
          </cell>
          <cell r="Z16" t="str">
            <v>H310x305x15x20 - 10000</v>
          </cell>
          <cell r="AA16">
            <v>1300</v>
          </cell>
          <cell r="AB16">
            <v>130</v>
          </cell>
          <cell r="AC16">
            <v>56</v>
          </cell>
          <cell r="AD16">
            <v>6</v>
          </cell>
          <cell r="AF16">
            <v>0.14000000000000057</v>
          </cell>
          <cell r="AH16">
            <v>63614.84</v>
          </cell>
        </row>
        <row r="17">
          <cell r="B17" t="str">
            <v>CM5</v>
          </cell>
          <cell r="C17" t="str">
            <v>H310x310x20x20 - 4930</v>
          </cell>
          <cell r="D17">
            <v>700</v>
          </cell>
          <cell r="E17">
            <v>0</v>
          </cell>
          <cell r="F17">
            <v>0</v>
          </cell>
          <cell r="G17">
            <v>0</v>
          </cell>
          <cell r="H17">
            <v>0</v>
          </cell>
          <cell r="I17">
            <v>0</v>
          </cell>
          <cell r="J17">
            <v>0</v>
          </cell>
          <cell r="K17">
            <v>0</v>
          </cell>
          <cell r="L17">
            <v>0</v>
          </cell>
          <cell r="M17">
            <v>6</v>
          </cell>
          <cell r="N17">
            <v>4200</v>
          </cell>
          <cell r="O17">
            <v>33600</v>
          </cell>
          <cell r="P17">
            <v>48</v>
          </cell>
          <cell r="Y17">
            <v>48</v>
          </cell>
        </row>
        <row r="19">
          <cell r="B19" t="str">
            <v>DIAGONAL</v>
          </cell>
          <cell r="E19">
            <v>24</v>
          </cell>
          <cell r="F19">
            <v>10592</v>
          </cell>
          <cell r="G19">
            <v>148288</v>
          </cell>
          <cell r="H19">
            <v>336</v>
          </cell>
          <cell r="I19">
            <v>28</v>
          </cell>
          <cell r="J19">
            <v>12516</v>
          </cell>
          <cell r="K19">
            <v>25032</v>
          </cell>
          <cell r="L19">
            <v>56</v>
          </cell>
          <cell r="M19">
            <v>32</v>
          </cell>
          <cell r="N19">
            <v>14864</v>
          </cell>
          <cell r="O19">
            <v>118912</v>
          </cell>
          <cell r="P19">
            <v>256</v>
          </cell>
          <cell r="Q19">
            <v>1.05</v>
          </cell>
          <cell r="R19">
            <v>11121.6</v>
          </cell>
          <cell r="S19">
            <v>22243.200000000001</v>
          </cell>
          <cell r="T19">
            <v>23262.508880188332</v>
          </cell>
          <cell r="U19">
            <v>0.91</v>
          </cell>
          <cell r="V19">
            <v>9638.7200000000012</v>
          </cell>
          <cell r="W19">
            <v>19277.440000000002</v>
          </cell>
          <cell r="X19">
            <v>20160.841029496558</v>
          </cell>
        </row>
        <row r="20">
          <cell r="B20" t="str">
            <v>DM1</v>
          </cell>
          <cell r="C20" t="str">
            <v>H294x200x8x12 - 6139</v>
          </cell>
          <cell r="D20">
            <v>349</v>
          </cell>
          <cell r="E20">
            <v>16</v>
          </cell>
          <cell r="F20">
            <v>5584</v>
          </cell>
          <cell r="G20">
            <v>78176</v>
          </cell>
          <cell r="H20">
            <v>224</v>
          </cell>
          <cell r="I20">
            <v>16</v>
          </cell>
          <cell r="J20">
            <v>5584</v>
          </cell>
          <cell r="K20">
            <v>11168</v>
          </cell>
          <cell r="L20">
            <v>32</v>
          </cell>
          <cell r="M20">
            <v>16</v>
          </cell>
          <cell r="N20">
            <v>5584</v>
          </cell>
          <cell r="O20">
            <v>44672</v>
          </cell>
          <cell r="P20">
            <v>128</v>
          </cell>
          <cell r="Y20">
            <v>384</v>
          </cell>
          <cell r="Z20" t="str">
            <v>H294x200x8x12 - 12500</v>
          </cell>
          <cell r="AA20">
            <v>710</v>
          </cell>
          <cell r="AB20">
            <v>56.8</v>
          </cell>
          <cell r="AC20">
            <v>234</v>
          </cell>
        </row>
        <row r="21">
          <cell r="B21" t="str">
            <v>DM1X</v>
          </cell>
          <cell r="C21" t="str">
            <v>H294x200x8x12 - 6139</v>
          </cell>
          <cell r="D21">
            <v>349</v>
          </cell>
          <cell r="E21">
            <v>0</v>
          </cell>
          <cell r="F21">
            <v>0</v>
          </cell>
          <cell r="G21">
            <v>0</v>
          </cell>
          <cell r="H21">
            <v>0</v>
          </cell>
          <cell r="I21">
            <v>4</v>
          </cell>
          <cell r="J21">
            <v>1396</v>
          </cell>
          <cell r="K21">
            <v>2792</v>
          </cell>
          <cell r="L21">
            <v>8</v>
          </cell>
          <cell r="M21">
            <v>0</v>
          </cell>
          <cell r="N21">
            <v>0</v>
          </cell>
          <cell r="O21">
            <v>0</v>
          </cell>
          <cell r="P21">
            <v>0</v>
          </cell>
          <cell r="Y21">
            <v>8</v>
          </cell>
        </row>
        <row r="22">
          <cell r="B22" t="str">
            <v>DM2X</v>
          </cell>
          <cell r="C22" t="str">
            <v>H298x201x9x14 - 6139</v>
          </cell>
          <cell r="D22">
            <v>402</v>
          </cell>
          <cell r="E22">
            <v>4</v>
          </cell>
          <cell r="F22">
            <v>1608</v>
          </cell>
          <cell r="G22">
            <v>22512</v>
          </cell>
          <cell r="H22">
            <v>56</v>
          </cell>
          <cell r="I22">
            <v>0</v>
          </cell>
          <cell r="J22">
            <v>0</v>
          </cell>
          <cell r="K22">
            <v>0</v>
          </cell>
          <cell r="L22">
            <v>0</v>
          </cell>
          <cell r="M22">
            <v>4</v>
          </cell>
          <cell r="N22">
            <v>1608</v>
          </cell>
          <cell r="O22">
            <v>12864</v>
          </cell>
          <cell r="P22">
            <v>32</v>
          </cell>
          <cell r="Y22">
            <v>88</v>
          </cell>
          <cell r="Z22" t="str">
            <v>H298x201x9x14 - 12500</v>
          </cell>
          <cell r="AA22">
            <v>817.5</v>
          </cell>
          <cell r="AB22">
            <v>65.400000000000006</v>
          </cell>
          <cell r="AC22">
            <v>37</v>
          </cell>
        </row>
        <row r="23">
          <cell r="B23" t="str">
            <v>DM4X</v>
          </cell>
          <cell r="C23" t="str">
            <v>H298x299x9x14 - 6139</v>
          </cell>
          <cell r="D23">
            <v>534</v>
          </cell>
          <cell r="E23">
            <v>0</v>
          </cell>
          <cell r="F23">
            <v>0</v>
          </cell>
          <cell r="G23">
            <v>0</v>
          </cell>
          <cell r="H23">
            <v>0</v>
          </cell>
          <cell r="I23">
            <v>4</v>
          </cell>
          <cell r="J23">
            <v>2136</v>
          </cell>
          <cell r="K23">
            <v>4272</v>
          </cell>
          <cell r="L23">
            <v>8</v>
          </cell>
          <cell r="M23">
            <v>8</v>
          </cell>
          <cell r="N23">
            <v>4272</v>
          </cell>
          <cell r="O23">
            <v>34176</v>
          </cell>
          <cell r="P23">
            <v>64</v>
          </cell>
          <cell r="Y23">
            <v>72</v>
          </cell>
        </row>
        <row r="24">
          <cell r="B24" t="str">
            <v>DM5</v>
          </cell>
          <cell r="C24" t="str">
            <v>H310x305x15x20 - 6468</v>
          </cell>
          <cell r="D24">
            <v>850</v>
          </cell>
          <cell r="E24">
            <v>4</v>
          </cell>
          <cell r="F24">
            <v>3400</v>
          </cell>
          <cell r="G24">
            <v>47600</v>
          </cell>
          <cell r="H24">
            <v>56</v>
          </cell>
          <cell r="I24">
            <v>4</v>
          </cell>
          <cell r="J24">
            <v>3400</v>
          </cell>
          <cell r="K24">
            <v>6800</v>
          </cell>
          <cell r="L24">
            <v>8</v>
          </cell>
          <cell r="M24">
            <v>4</v>
          </cell>
          <cell r="N24">
            <v>3400</v>
          </cell>
          <cell r="O24">
            <v>27200</v>
          </cell>
          <cell r="P24">
            <v>32</v>
          </cell>
          <cell r="Y24">
            <v>96</v>
          </cell>
          <cell r="Z24" t="str">
            <v>H310x305x15x20 - 6500</v>
          </cell>
          <cell r="AA24">
            <v>845</v>
          </cell>
          <cell r="AB24">
            <v>130</v>
          </cell>
          <cell r="AC24">
            <v>112</v>
          </cell>
        </row>
        <row r="26">
          <cell r="B26" t="str">
            <v>CROSS GIRDER</v>
          </cell>
          <cell r="E26">
            <v>9</v>
          </cell>
          <cell r="F26">
            <v>6841</v>
          </cell>
          <cell r="G26">
            <v>95774</v>
          </cell>
          <cell r="H26">
            <v>126</v>
          </cell>
          <cell r="I26">
            <v>10</v>
          </cell>
          <cell r="J26">
            <v>7584</v>
          </cell>
          <cell r="K26">
            <v>15168</v>
          </cell>
          <cell r="L26">
            <v>20</v>
          </cell>
          <cell r="M26">
            <v>11</v>
          </cell>
          <cell r="N26">
            <v>8327</v>
          </cell>
          <cell r="O26">
            <v>66616</v>
          </cell>
          <cell r="P26">
            <v>88</v>
          </cell>
          <cell r="Q26">
            <v>1.05</v>
          </cell>
          <cell r="R26">
            <v>7183.05</v>
          </cell>
          <cell r="S26">
            <v>14366.1</v>
          </cell>
          <cell r="T26">
            <v>15024.435729736442</v>
          </cell>
          <cell r="U26">
            <v>0.91</v>
          </cell>
          <cell r="V26">
            <v>6225.31</v>
          </cell>
          <cell r="W26">
            <v>12450.62</v>
          </cell>
          <cell r="X26">
            <v>13021.17763243825</v>
          </cell>
        </row>
        <row r="27">
          <cell r="B27" t="str">
            <v>XB1M</v>
          </cell>
          <cell r="C27" t="str">
            <v>H500x200x10x16 - 7180</v>
          </cell>
          <cell r="D27">
            <v>743</v>
          </cell>
          <cell r="E27">
            <v>7</v>
          </cell>
          <cell r="F27">
            <v>5201</v>
          </cell>
          <cell r="G27">
            <v>72814</v>
          </cell>
          <cell r="H27">
            <v>98</v>
          </cell>
          <cell r="I27">
            <v>8</v>
          </cell>
          <cell r="J27">
            <v>5944</v>
          </cell>
          <cell r="K27">
            <v>11888</v>
          </cell>
          <cell r="L27">
            <v>16</v>
          </cell>
          <cell r="M27">
            <v>9</v>
          </cell>
          <cell r="N27">
            <v>6687</v>
          </cell>
          <cell r="O27">
            <v>53496</v>
          </cell>
          <cell r="P27">
            <v>72</v>
          </cell>
          <cell r="Y27">
            <v>186</v>
          </cell>
          <cell r="Z27" t="str">
            <v>H500x200x10x16 - 7500</v>
          </cell>
          <cell r="AA27">
            <v>672</v>
          </cell>
          <cell r="AB27">
            <v>89.6</v>
          </cell>
          <cell r="AC27">
            <v>279</v>
          </cell>
        </row>
        <row r="28">
          <cell r="B28" t="str">
            <v>XB2M</v>
          </cell>
          <cell r="C28" t="str">
            <v>H500x200x10x16 - 7164</v>
          </cell>
          <cell r="D28">
            <v>820</v>
          </cell>
          <cell r="E28">
            <v>2</v>
          </cell>
          <cell r="F28">
            <v>1640</v>
          </cell>
          <cell r="G28">
            <v>22960</v>
          </cell>
          <cell r="H28">
            <v>28</v>
          </cell>
          <cell r="I28">
            <v>2</v>
          </cell>
          <cell r="J28">
            <v>1640</v>
          </cell>
          <cell r="K28">
            <v>3280</v>
          </cell>
          <cell r="L28">
            <v>4</v>
          </cell>
          <cell r="M28">
            <v>2</v>
          </cell>
          <cell r="N28">
            <v>1640</v>
          </cell>
          <cell r="O28">
            <v>13120</v>
          </cell>
          <cell r="P28">
            <v>16</v>
          </cell>
          <cell r="Y28">
            <v>48</v>
          </cell>
        </row>
        <row r="30">
          <cell r="B30" t="str">
            <v>STRINGER</v>
          </cell>
          <cell r="E30">
            <v>200</v>
          </cell>
          <cell r="F30">
            <v>11038</v>
          </cell>
          <cell r="G30">
            <v>154532</v>
          </cell>
          <cell r="H30">
            <v>2800</v>
          </cell>
          <cell r="I30">
            <v>225</v>
          </cell>
          <cell r="J30">
            <v>12418</v>
          </cell>
          <cell r="K30">
            <v>24836</v>
          </cell>
          <cell r="L30">
            <v>450</v>
          </cell>
          <cell r="M30">
            <v>250</v>
          </cell>
          <cell r="N30">
            <v>13798</v>
          </cell>
          <cell r="O30">
            <v>110384</v>
          </cell>
          <cell r="P30">
            <v>2000</v>
          </cell>
          <cell r="Q30">
            <v>1.05</v>
          </cell>
          <cell r="R30">
            <v>11589.9</v>
          </cell>
          <cell r="S30">
            <v>23179.8</v>
          </cell>
          <cell r="T30">
            <v>24242.029174803512</v>
          </cell>
          <cell r="U30">
            <v>0.91</v>
          </cell>
          <cell r="V30">
            <v>10044.58</v>
          </cell>
          <cell r="W30">
            <v>20089.16</v>
          </cell>
          <cell r="X30">
            <v>21009.758618163047</v>
          </cell>
        </row>
        <row r="31">
          <cell r="B31" t="str">
            <v>SB1</v>
          </cell>
          <cell r="C31" t="str">
            <v>H396x199x7x11 - 4962</v>
          </cell>
          <cell r="D31">
            <v>281</v>
          </cell>
          <cell r="E31">
            <v>24</v>
          </cell>
          <cell r="F31">
            <v>6744</v>
          </cell>
          <cell r="G31">
            <v>94416</v>
          </cell>
          <cell r="H31">
            <v>336</v>
          </cell>
          <cell r="I31">
            <v>27</v>
          </cell>
          <cell r="J31">
            <v>7587</v>
          </cell>
          <cell r="K31">
            <v>15174</v>
          </cell>
          <cell r="L31">
            <v>54</v>
          </cell>
          <cell r="M31">
            <v>30</v>
          </cell>
          <cell r="N31">
            <v>8430</v>
          </cell>
          <cell r="O31">
            <v>67440</v>
          </cell>
          <cell r="P31">
            <v>240</v>
          </cell>
          <cell r="Y31">
            <v>630</v>
          </cell>
          <cell r="Z31" t="str">
            <v>H396x199x7x11 - 10000</v>
          </cell>
          <cell r="AA31">
            <v>566</v>
          </cell>
          <cell r="AB31">
            <v>56.6</v>
          </cell>
          <cell r="AC31">
            <v>353</v>
          </cell>
        </row>
        <row r="32">
          <cell r="B32" t="str">
            <v>SB2</v>
          </cell>
          <cell r="C32" t="str">
            <v>H350x175x7x11 - 4962</v>
          </cell>
          <cell r="D32">
            <v>246</v>
          </cell>
          <cell r="E32">
            <v>16</v>
          </cell>
          <cell r="F32">
            <v>3936</v>
          </cell>
          <cell r="G32">
            <v>55104</v>
          </cell>
          <cell r="H32">
            <v>224</v>
          </cell>
          <cell r="I32">
            <v>18</v>
          </cell>
          <cell r="J32">
            <v>4428</v>
          </cell>
          <cell r="K32">
            <v>8856</v>
          </cell>
          <cell r="L32">
            <v>36</v>
          </cell>
          <cell r="M32">
            <v>20</v>
          </cell>
          <cell r="N32">
            <v>4920</v>
          </cell>
          <cell r="O32">
            <v>39360</v>
          </cell>
          <cell r="P32">
            <v>160</v>
          </cell>
          <cell r="Y32">
            <v>420</v>
          </cell>
          <cell r="Z32" t="str">
            <v>H350x175x7x11 - 10000</v>
          </cell>
          <cell r="AA32">
            <v>496</v>
          </cell>
          <cell r="AB32">
            <v>49.6</v>
          </cell>
          <cell r="AC32">
            <v>248</v>
          </cell>
        </row>
        <row r="33">
          <cell r="B33" t="str">
            <v>CA1</v>
          </cell>
          <cell r="C33" t="str">
            <v>L90x90x6 - 320</v>
          </cell>
          <cell r="D33">
            <v>2.4</v>
          </cell>
          <cell r="E33">
            <v>96</v>
          </cell>
          <cell r="F33">
            <v>230</v>
          </cell>
          <cell r="G33">
            <v>3220</v>
          </cell>
          <cell r="H33">
            <v>1344</v>
          </cell>
          <cell r="I33">
            <v>108</v>
          </cell>
          <cell r="J33">
            <v>259</v>
          </cell>
          <cell r="K33">
            <v>518</v>
          </cell>
          <cell r="L33">
            <v>216</v>
          </cell>
          <cell r="M33">
            <v>120</v>
          </cell>
          <cell r="N33">
            <v>288</v>
          </cell>
          <cell r="O33">
            <v>2304</v>
          </cell>
          <cell r="P33">
            <v>960</v>
          </cell>
          <cell r="Y33">
            <v>2520</v>
          </cell>
          <cell r="Z33" t="str">
            <v>L90x90x6 - 7000</v>
          </cell>
          <cell r="AA33">
            <v>58</v>
          </cell>
          <cell r="AB33">
            <v>8.2857142857142865</v>
          </cell>
          <cell r="AC33">
            <v>219</v>
          </cell>
        </row>
        <row r="34">
          <cell r="B34" t="str">
            <v>CA2</v>
          </cell>
          <cell r="C34" t="str">
            <v>L90x90x6 - 275</v>
          </cell>
          <cell r="D34">
            <v>2</v>
          </cell>
          <cell r="E34">
            <v>64</v>
          </cell>
          <cell r="F34">
            <v>128</v>
          </cell>
          <cell r="G34">
            <v>1792</v>
          </cell>
          <cell r="H34">
            <v>896</v>
          </cell>
          <cell r="I34">
            <v>72</v>
          </cell>
          <cell r="J34">
            <v>144</v>
          </cell>
          <cell r="K34">
            <v>288</v>
          </cell>
          <cell r="L34">
            <v>144</v>
          </cell>
          <cell r="M34">
            <v>80</v>
          </cell>
          <cell r="N34">
            <v>160</v>
          </cell>
          <cell r="O34">
            <v>1280</v>
          </cell>
          <cell r="P34">
            <v>640</v>
          </cell>
          <cell r="Y34">
            <v>1680</v>
          </cell>
        </row>
        <row r="36">
          <cell r="B36" t="str">
            <v>BRACING</v>
          </cell>
          <cell r="E36">
            <v>37</v>
          </cell>
          <cell r="F36">
            <v>3594</v>
          </cell>
          <cell r="G36">
            <v>50316</v>
          </cell>
          <cell r="H36">
            <v>518</v>
          </cell>
          <cell r="I36">
            <v>42</v>
          </cell>
          <cell r="J36">
            <v>4000</v>
          </cell>
          <cell r="K36">
            <v>8000</v>
          </cell>
          <cell r="L36">
            <v>84</v>
          </cell>
          <cell r="M36">
            <v>47</v>
          </cell>
          <cell r="N36">
            <v>4406</v>
          </cell>
          <cell r="O36">
            <v>35248</v>
          </cell>
          <cell r="P36">
            <v>376</v>
          </cell>
          <cell r="Q36">
            <v>1.05</v>
          </cell>
          <cell r="R36">
            <v>3773.7000000000003</v>
          </cell>
          <cell r="S36">
            <v>7547.4000000000005</v>
          </cell>
          <cell r="T36">
            <v>7893.2644368765932</v>
          </cell>
          <cell r="U36">
            <v>0.91</v>
          </cell>
          <cell r="V36">
            <v>3270.54</v>
          </cell>
          <cell r="W36">
            <v>6541.08</v>
          </cell>
          <cell r="X36">
            <v>6840.8291786263799</v>
          </cell>
        </row>
        <row r="37">
          <cell r="B37" t="str">
            <v>BB2</v>
          </cell>
          <cell r="C37" t="str">
            <v>H200x100x5.5x8 - 7140</v>
          </cell>
          <cell r="D37">
            <v>166</v>
          </cell>
          <cell r="E37">
            <v>6</v>
          </cell>
          <cell r="F37">
            <v>996</v>
          </cell>
          <cell r="G37">
            <v>13944</v>
          </cell>
          <cell r="H37">
            <v>84</v>
          </cell>
          <cell r="I37">
            <v>7</v>
          </cell>
          <cell r="J37">
            <v>1162</v>
          </cell>
          <cell r="K37">
            <v>2324</v>
          </cell>
          <cell r="L37">
            <v>14</v>
          </cell>
          <cell r="M37">
            <v>8</v>
          </cell>
          <cell r="N37">
            <v>1328</v>
          </cell>
          <cell r="O37">
            <v>10624</v>
          </cell>
          <cell r="P37">
            <v>64</v>
          </cell>
          <cell r="Y37">
            <v>162</v>
          </cell>
          <cell r="Z37" t="str">
            <v>H200x100x5.5x8 - 7500</v>
          </cell>
          <cell r="AA37">
            <v>159.80000000000001</v>
          </cell>
          <cell r="AB37">
            <v>21.306666666666668</v>
          </cell>
          <cell r="AC37">
            <v>188</v>
          </cell>
        </row>
        <row r="38">
          <cell r="B38" t="str">
            <v>BB3M</v>
          </cell>
          <cell r="C38" t="str">
            <v>H346x174x6x9 - 7124</v>
          </cell>
          <cell r="D38">
            <v>410</v>
          </cell>
          <cell r="E38">
            <v>2</v>
          </cell>
          <cell r="F38">
            <v>820</v>
          </cell>
          <cell r="G38">
            <v>11480</v>
          </cell>
          <cell r="H38">
            <v>28</v>
          </cell>
          <cell r="I38">
            <v>2</v>
          </cell>
          <cell r="J38">
            <v>820</v>
          </cell>
          <cell r="K38">
            <v>1640</v>
          </cell>
          <cell r="L38">
            <v>4</v>
          </cell>
          <cell r="M38">
            <v>2</v>
          </cell>
          <cell r="N38">
            <v>820</v>
          </cell>
          <cell r="O38">
            <v>6560</v>
          </cell>
          <cell r="P38">
            <v>16</v>
          </cell>
          <cell r="Y38">
            <v>48</v>
          </cell>
          <cell r="Z38" t="str">
            <v>H346x174x6x9 - 9500</v>
          </cell>
          <cell r="AA38">
            <v>393.3</v>
          </cell>
          <cell r="AB38">
            <v>41.4</v>
          </cell>
          <cell r="AC38">
            <v>57</v>
          </cell>
        </row>
        <row r="39">
          <cell r="B39" t="str">
            <v>BB5</v>
          </cell>
          <cell r="C39" t="str">
            <v>L150x90x9 - 5865</v>
          </cell>
          <cell r="D39">
            <v>96</v>
          </cell>
          <cell r="E39">
            <v>14</v>
          </cell>
          <cell r="F39">
            <v>1344</v>
          </cell>
          <cell r="G39">
            <v>18816</v>
          </cell>
          <cell r="H39">
            <v>196</v>
          </cell>
          <cell r="I39">
            <v>16</v>
          </cell>
          <cell r="J39">
            <v>1536</v>
          </cell>
          <cell r="K39">
            <v>3072</v>
          </cell>
          <cell r="L39">
            <v>32</v>
          </cell>
          <cell r="M39">
            <v>18</v>
          </cell>
          <cell r="N39">
            <v>1728</v>
          </cell>
          <cell r="O39">
            <v>13824</v>
          </cell>
          <cell r="P39">
            <v>144</v>
          </cell>
          <cell r="Y39">
            <v>372</v>
          </cell>
          <cell r="Z39" t="str">
            <v>L150x90x9 - 6000</v>
          </cell>
          <cell r="AA39">
            <v>98.4</v>
          </cell>
          <cell r="AB39">
            <v>16.400000000000002</v>
          </cell>
          <cell r="AC39">
            <v>444</v>
          </cell>
        </row>
        <row r="40">
          <cell r="B40" t="str">
            <v>BB6</v>
          </cell>
          <cell r="C40" t="str">
            <v>L90x90x6 - 2949</v>
          </cell>
          <cell r="D40">
            <v>24</v>
          </cell>
          <cell r="E40">
            <v>14</v>
          </cell>
          <cell r="F40">
            <v>336</v>
          </cell>
          <cell r="G40">
            <v>4704</v>
          </cell>
          <cell r="H40">
            <v>196</v>
          </cell>
          <cell r="I40">
            <v>16</v>
          </cell>
          <cell r="J40">
            <v>384</v>
          </cell>
          <cell r="K40">
            <v>768</v>
          </cell>
          <cell r="L40">
            <v>32</v>
          </cell>
          <cell r="M40">
            <v>18</v>
          </cell>
          <cell r="N40">
            <v>432</v>
          </cell>
          <cell r="O40">
            <v>3456</v>
          </cell>
          <cell r="P40">
            <v>144</v>
          </cell>
          <cell r="Y40">
            <v>372</v>
          </cell>
          <cell r="Z40" t="str">
            <v>L90x90x6 - 7000</v>
          </cell>
          <cell r="AA40">
            <v>58</v>
          </cell>
          <cell r="AB40">
            <v>8.2857142857142865</v>
          </cell>
          <cell r="AC40">
            <v>186</v>
          </cell>
        </row>
        <row r="41">
          <cell r="B41" t="str">
            <v>BB7</v>
          </cell>
          <cell r="C41" t="str">
            <v>L130x130x9 - 4858</v>
          </cell>
          <cell r="D41">
            <v>98</v>
          </cell>
          <cell r="E41">
            <v>1</v>
          </cell>
          <cell r="F41">
            <v>98</v>
          </cell>
          <cell r="G41">
            <v>1372</v>
          </cell>
          <cell r="H41">
            <v>14</v>
          </cell>
          <cell r="I41">
            <v>1</v>
          </cell>
          <cell r="J41">
            <v>98</v>
          </cell>
          <cell r="K41">
            <v>196</v>
          </cell>
          <cell r="L41">
            <v>2</v>
          </cell>
          <cell r="M41">
            <v>1</v>
          </cell>
          <cell r="N41">
            <v>98</v>
          </cell>
          <cell r="O41">
            <v>784</v>
          </cell>
          <cell r="P41">
            <v>8</v>
          </cell>
          <cell r="Y41">
            <v>24</v>
          </cell>
          <cell r="Z41" t="str">
            <v>L130x130x9 - 10500</v>
          </cell>
          <cell r="AA41">
            <v>188</v>
          </cell>
          <cell r="AB41">
            <v>17.904761904761905</v>
          </cell>
          <cell r="AC41">
            <v>15</v>
          </cell>
        </row>
        <row r="43">
          <cell r="B43" t="str">
            <v>GUSSET PL</v>
          </cell>
          <cell r="E43">
            <v>68</v>
          </cell>
          <cell r="F43">
            <v>5160</v>
          </cell>
          <cell r="G43">
            <v>72240</v>
          </cell>
          <cell r="H43">
            <v>952</v>
          </cell>
          <cell r="I43">
            <v>76</v>
          </cell>
          <cell r="J43">
            <v>5450</v>
          </cell>
          <cell r="K43">
            <v>10900</v>
          </cell>
          <cell r="L43">
            <v>152</v>
          </cell>
          <cell r="M43">
            <v>84</v>
          </cell>
          <cell r="N43">
            <v>5740</v>
          </cell>
          <cell r="O43">
            <v>45920</v>
          </cell>
          <cell r="P43">
            <v>672</v>
          </cell>
          <cell r="Q43">
            <v>1</v>
          </cell>
          <cell r="R43">
            <v>5160</v>
          </cell>
          <cell r="S43">
            <v>10320</v>
          </cell>
          <cell r="T43">
            <v>10320</v>
          </cell>
          <cell r="U43">
            <v>1</v>
          </cell>
          <cell r="V43">
            <v>5160</v>
          </cell>
          <cell r="W43">
            <v>10320</v>
          </cell>
          <cell r="X43">
            <v>10320</v>
          </cell>
        </row>
        <row r="44">
          <cell r="B44" t="str">
            <v>MBA 2</v>
          </cell>
          <cell r="C44" t="str">
            <v>1334x1196xPL18</v>
          </cell>
          <cell r="D44">
            <v>178</v>
          </cell>
          <cell r="E44">
            <v>4</v>
          </cell>
          <cell r="F44">
            <v>712</v>
          </cell>
          <cell r="G44">
            <v>9968</v>
          </cell>
          <cell r="H44">
            <v>56</v>
          </cell>
          <cell r="I44">
            <v>4</v>
          </cell>
          <cell r="J44">
            <v>712</v>
          </cell>
          <cell r="K44">
            <v>1424</v>
          </cell>
          <cell r="L44">
            <v>8</v>
          </cell>
          <cell r="M44">
            <v>4</v>
          </cell>
          <cell r="N44">
            <v>712</v>
          </cell>
          <cell r="O44">
            <v>5696</v>
          </cell>
          <cell r="P44">
            <v>32</v>
          </cell>
          <cell r="Y44">
            <v>96</v>
          </cell>
          <cell r="Z44" t="str">
            <v>1334x1196xPL18</v>
          </cell>
          <cell r="AA44">
            <v>178</v>
          </cell>
          <cell r="AC44">
            <v>178</v>
          </cell>
        </row>
        <row r="45">
          <cell r="B45" t="str">
            <v>MBA 1/L</v>
          </cell>
          <cell r="D45">
            <v>360</v>
          </cell>
          <cell r="E45">
            <v>2</v>
          </cell>
          <cell r="F45">
            <v>720</v>
          </cell>
          <cell r="G45">
            <v>10080</v>
          </cell>
          <cell r="H45">
            <v>28</v>
          </cell>
          <cell r="I45">
            <v>2</v>
          </cell>
          <cell r="J45">
            <v>720</v>
          </cell>
          <cell r="K45">
            <v>1440</v>
          </cell>
          <cell r="L45">
            <v>4</v>
          </cell>
          <cell r="M45">
            <v>2</v>
          </cell>
          <cell r="N45">
            <v>720</v>
          </cell>
          <cell r="O45">
            <v>5760</v>
          </cell>
          <cell r="P45">
            <v>16</v>
          </cell>
          <cell r="Y45">
            <v>48</v>
          </cell>
          <cell r="Z45">
            <v>0</v>
          </cell>
          <cell r="AA45">
            <v>360</v>
          </cell>
          <cell r="AC45">
            <v>360</v>
          </cell>
        </row>
        <row r="46">
          <cell r="B46" t="str">
            <v>MBA 1/R</v>
          </cell>
          <cell r="D46">
            <v>360</v>
          </cell>
          <cell r="E46">
            <v>2</v>
          </cell>
          <cell r="F46">
            <v>720</v>
          </cell>
          <cell r="G46">
            <v>10080</v>
          </cell>
          <cell r="H46">
            <v>28</v>
          </cell>
          <cell r="I46">
            <v>2</v>
          </cell>
          <cell r="J46">
            <v>720</v>
          </cell>
          <cell r="K46">
            <v>1440</v>
          </cell>
          <cell r="L46">
            <v>4</v>
          </cell>
          <cell r="M46">
            <v>2</v>
          </cell>
          <cell r="N46">
            <v>720</v>
          </cell>
          <cell r="O46">
            <v>5760</v>
          </cell>
          <cell r="P46">
            <v>16</v>
          </cell>
          <cell r="Y46">
            <v>48</v>
          </cell>
          <cell r="Z46">
            <v>0</v>
          </cell>
          <cell r="AA46">
            <v>360</v>
          </cell>
          <cell r="AC46">
            <v>360</v>
          </cell>
        </row>
        <row r="47">
          <cell r="B47" t="str">
            <v>MG 1</v>
          </cell>
          <cell r="C47" t="str">
            <v>848x690xPL10</v>
          </cell>
          <cell r="D47">
            <v>45</v>
          </cell>
          <cell r="E47">
            <v>12</v>
          </cell>
          <cell r="F47">
            <v>540</v>
          </cell>
          <cell r="G47">
            <v>7560</v>
          </cell>
          <cell r="H47">
            <v>168</v>
          </cell>
          <cell r="I47">
            <v>14</v>
          </cell>
          <cell r="J47">
            <v>630</v>
          </cell>
          <cell r="K47">
            <v>1260</v>
          </cell>
          <cell r="L47">
            <v>28</v>
          </cell>
          <cell r="M47">
            <v>16</v>
          </cell>
          <cell r="N47">
            <v>720</v>
          </cell>
          <cell r="O47">
            <v>5760</v>
          </cell>
          <cell r="P47">
            <v>128</v>
          </cell>
          <cell r="Y47">
            <v>324</v>
          </cell>
          <cell r="Z47" t="str">
            <v>848x690xPL10</v>
          </cell>
          <cell r="AA47">
            <v>45</v>
          </cell>
          <cell r="AC47">
            <v>45</v>
          </cell>
        </row>
        <row r="48">
          <cell r="B48" t="str">
            <v>MG 2/L</v>
          </cell>
          <cell r="C48" t="str">
            <v>848x690xPL10</v>
          </cell>
          <cell r="D48">
            <v>50</v>
          </cell>
          <cell r="E48">
            <v>6</v>
          </cell>
          <cell r="F48">
            <v>300</v>
          </cell>
          <cell r="G48">
            <v>4200</v>
          </cell>
          <cell r="H48">
            <v>84</v>
          </cell>
          <cell r="I48">
            <v>7</v>
          </cell>
          <cell r="J48">
            <v>350</v>
          </cell>
          <cell r="K48">
            <v>700</v>
          </cell>
          <cell r="L48">
            <v>14</v>
          </cell>
          <cell r="M48">
            <v>8</v>
          </cell>
          <cell r="N48">
            <v>400</v>
          </cell>
          <cell r="O48">
            <v>3200</v>
          </cell>
          <cell r="P48">
            <v>64</v>
          </cell>
          <cell r="Y48">
            <v>162</v>
          </cell>
          <cell r="Z48" t="str">
            <v>848x690xPL10</v>
          </cell>
          <cell r="AA48">
            <v>50</v>
          </cell>
          <cell r="AC48">
            <v>50</v>
          </cell>
        </row>
        <row r="49">
          <cell r="B49" t="str">
            <v>MG 2/R</v>
          </cell>
          <cell r="C49" t="str">
            <v>848x690xPL10</v>
          </cell>
          <cell r="D49">
            <v>50</v>
          </cell>
          <cell r="E49">
            <v>6</v>
          </cell>
          <cell r="F49">
            <v>300</v>
          </cell>
          <cell r="G49">
            <v>4200</v>
          </cell>
          <cell r="H49">
            <v>84</v>
          </cell>
          <cell r="I49">
            <v>7</v>
          </cell>
          <cell r="J49">
            <v>350</v>
          </cell>
          <cell r="K49">
            <v>700</v>
          </cell>
          <cell r="L49">
            <v>14</v>
          </cell>
          <cell r="M49">
            <v>8</v>
          </cell>
          <cell r="N49">
            <v>400</v>
          </cell>
          <cell r="O49">
            <v>3200</v>
          </cell>
          <cell r="P49">
            <v>64</v>
          </cell>
          <cell r="Y49">
            <v>162</v>
          </cell>
          <cell r="Z49" t="str">
            <v>848x690xPL10</v>
          </cell>
          <cell r="AA49">
            <v>50</v>
          </cell>
          <cell r="AC49">
            <v>50</v>
          </cell>
        </row>
        <row r="50">
          <cell r="B50" t="str">
            <v>MG 3</v>
          </cell>
          <cell r="C50" t="str">
            <v>906x712xPL10</v>
          </cell>
          <cell r="D50">
            <v>50</v>
          </cell>
          <cell r="E50">
            <v>14</v>
          </cell>
          <cell r="F50">
            <v>700</v>
          </cell>
          <cell r="G50">
            <v>9800</v>
          </cell>
          <cell r="H50">
            <v>196</v>
          </cell>
          <cell r="I50">
            <v>16</v>
          </cell>
          <cell r="J50">
            <v>800</v>
          </cell>
          <cell r="K50">
            <v>1600</v>
          </cell>
          <cell r="L50">
            <v>32</v>
          </cell>
          <cell r="M50">
            <v>18</v>
          </cell>
          <cell r="N50">
            <v>900</v>
          </cell>
          <cell r="O50">
            <v>7200</v>
          </cell>
          <cell r="P50">
            <v>144</v>
          </cell>
          <cell r="Y50">
            <v>372</v>
          </cell>
          <cell r="Z50" t="str">
            <v>906x712xPL10</v>
          </cell>
          <cell r="AA50">
            <v>50</v>
          </cell>
          <cell r="AC50">
            <v>50</v>
          </cell>
        </row>
        <row r="51">
          <cell r="B51" t="str">
            <v>MG 4</v>
          </cell>
          <cell r="C51" t="str">
            <v>1353x949xPL18</v>
          </cell>
          <cell r="D51">
            <v>146</v>
          </cell>
          <cell r="E51">
            <v>8</v>
          </cell>
          <cell r="F51">
            <v>1168</v>
          </cell>
          <cell r="G51">
            <v>16352</v>
          </cell>
          <cell r="H51">
            <v>112</v>
          </cell>
          <cell r="I51">
            <v>8</v>
          </cell>
          <cell r="J51">
            <v>1168</v>
          </cell>
          <cell r="K51">
            <v>2336</v>
          </cell>
          <cell r="L51">
            <v>16</v>
          </cell>
          <cell r="M51">
            <v>8</v>
          </cell>
          <cell r="N51">
            <v>1168</v>
          </cell>
          <cell r="O51">
            <v>9344</v>
          </cell>
          <cell r="P51">
            <v>64</v>
          </cell>
          <cell r="Y51">
            <v>192</v>
          </cell>
          <cell r="Z51" t="str">
            <v>1353x949xPL18</v>
          </cell>
          <cell r="AA51">
            <v>146</v>
          </cell>
          <cell r="AC51">
            <v>146</v>
          </cell>
        </row>
        <row r="52">
          <cell r="B52" t="str">
            <v>XB1M</v>
          </cell>
          <cell r="C52" t="str">
            <v>906x712xPL10</v>
          </cell>
          <cell r="D52">
            <v>0</v>
          </cell>
          <cell r="E52">
            <v>14</v>
          </cell>
          <cell r="F52">
            <v>0</v>
          </cell>
          <cell r="G52">
            <v>0</v>
          </cell>
          <cell r="H52">
            <v>196</v>
          </cell>
          <cell r="I52">
            <v>16</v>
          </cell>
          <cell r="J52">
            <v>0</v>
          </cell>
          <cell r="K52">
            <v>0</v>
          </cell>
          <cell r="L52">
            <v>32</v>
          </cell>
          <cell r="M52">
            <v>18</v>
          </cell>
          <cell r="N52">
            <v>0</v>
          </cell>
          <cell r="O52">
            <v>0</v>
          </cell>
          <cell r="P52">
            <v>144</v>
          </cell>
          <cell r="Y52">
            <v>372</v>
          </cell>
          <cell r="Z52" t="str">
            <v>906x712xPL10</v>
          </cell>
          <cell r="AA52">
            <v>0</v>
          </cell>
          <cell r="AC52">
            <v>0</v>
          </cell>
        </row>
        <row r="54">
          <cell r="B54" t="str">
            <v>SPLICE PL</v>
          </cell>
          <cell r="E54">
            <v>172</v>
          </cell>
          <cell r="F54">
            <v>1096</v>
          </cell>
          <cell r="G54">
            <v>15344</v>
          </cell>
          <cell r="H54">
            <v>2408</v>
          </cell>
          <cell r="I54">
            <v>212</v>
          </cell>
          <cell r="J54">
            <v>1522</v>
          </cell>
          <cell r="K54">
            <v>3044</v>
          </cell>
          <cell r="L54">
            <v>424</v>
          </cell>
          <cell r="M54">
            <v>252</v>
          </cell>
          <cell r="N54">
            <v>2019</v>
          </cell>
          <cell r="O54">
            <v>16152</v>
          </cell>
          <cell r="P54">
            <v>2016</v>
          </cell>
          <cell r="Q54">
            <v>1</v>
          </cell>
          <cell r="R54">
            <v>1096</v>
          </cell>
          <cell r="S54">
            <v>2192</v>
          </cell>
          <cell r="T54">
            <v>2192</v>
          </cell>
          <cell r="U54">
            <v>1</v>
          </cell>
          <cell r="V54">
            <v>1096</v>
          </cell>
          <cell r="W54">
            <v>2192</v>
          </cell>
          <cell r="X54">
            <v>2192</v>
          </cell>
        </row>
        <row r="55">
          <cell r="B55" t="str">
            <v>MS 1</v>
          </cell>
          <cell r="C55" t="str">
            <v>690x125xPL12</v>
          </cell>
          <cell r="D55">
            <v>8.1</v>
          </cell>
          <cell r="E55">
            <v>16</v>
          </cell>
          <cell r="F55">
            <v>130</v>
          </cell>
          <cell r="G55">
            <v>1820</v>
          </cell>
          <cell r="H55">
            <v>224</v>
          </cell>
          <cell r="I55">
            <v>40</v>
          </cell>
          <cell r="J55">
            <v>324</v>
          </cell>
          <cell r="K55">
            <v>648</v>
          </cell>
          <cell r="L55">
            <v>80</v>
          </cell>
          <cell r="M55">
            <v>48</v>
          </cell>
          <cell r="N55">
            <v>389</v>
          </cell>
          <cell r="O55">
            <v>3112</v>
          </cell>
          <cell r="P55">
            <v>384</v>
          </cell>
          <cell r="Y55">
            <v>688</v>
          </cell>
          <cell r="Z55" t="str">
            <v>690x125xPL12</v>
          </cell>
          <cell r="AA55">
            <v>8.1</v>
          </cell>
          <cell r="AC55">
            <v>8.1</v>
          </cell>
        </row>
        <row r="56">
          <cell r="B56" t="str">
            <v>MS 2</v>
          </cell>
          <cell r="C56" t="str">
            <v>690x125xPL10</v>
          </cell>
          <cell r="D56">
            <v>6.8</v>
          </cell>
          <cell r="E56">
            <v>32</v>
          </cell>
          <cell r="F56">
            <v>218</v>
          </cell>
          <cell r="G56">
            <v>3052</v>
          </cell>
          <cell r="H56">
            <v>448</v>
          </cell>
          <cell r="I56">
            <v>16</v>
          </cell>
          <cell r="J56">
            <v>109</v>
          </cell>
          <cell r="K56">
            <v>218</v>
          </cell>
          <cell r="L56">
            <v>32</v>
          </cell>
          <cell r="M56">
            <v>16</v>
          </cell>
          <cell r="N56">
            <v>109</v>
          </cell>
          <cell r="O56">
            <v>872</v>
          </cell>
          <cell r="P56">
            <v>128</v>
          </cell>
          <cell r="Y56">
            <v>608</v>
          </cell>
          <cell r="Z56" t="str">
            <v>690x125xPL10</v>
          </cell>
          <cell r="AA56">
            <v>6.8</v>
          </cell>
          <cell r="AC56">
            <v>6.8</v>
          </cell>
        </row>
        <row r="57">
          <cell r="B57" t="str">
            <v>MS 3A</v>
          </cell>
          <cell r="C57" t="str">
            <v>638x190xPL12</v>
          </cell>
          <cell r="D57">
            <v>11</v>
          </cell>
          <cell r="E57">
            <v>0</v>
          </cell>
          <cell r="F57">
            <v>0</v>
          </cell>
          <cell r="G57">
            <v>0</v>
          </cell>
          <cell r="H57">
            <v>0</v>
          </cell>
          <cell r="I57">
            <v>4</v>
          </cell>
          <cell r="J57">
            <v>44</v>
          </cell>
          <cell r="K57">
            <v>88</v>
          </cell>
          <cell r="L57">
            <v>8</v>
          </cell>
          <cell r="M57">
            <v>16</v>
          </cell>
          <cell r="N57">
            <v>176</v>
          </cell>
          <cell r="O57">
            <v>1408</v>
          </cell>
          <cell r="P57">
            <v>128</v>
          </cell>
          <cell r="Y57">
            <v>136</v>
          </cell>
          <cell r="Z57" t="str">
            <v>638x190xPL12</v>
          </cell>
          <cell r="AA57">
            <v>11</v>
          </cell>
          <cell r="AC57">
            <v>11</v>
          </cell>
        </row>
        <row r="58">
          <cell r="B58" t="str">
            <v>MS 3B</v>
          </cell>
          <cell r="C58" t="str">
            <v>488x190xPL8</v>
          </cell>
          <cell r="D58">
            <v>5.8</v>
          </cell>
          <cell r="E58">
            <v>0</v>
          </cell>
          <cell r="F58">
            <v>0</v>
          </cell>
          <cell r="G58">
            <v>0</v>
          </cell>
          <cell r="H58">
            <v>0</v>
          </cell>
          <cell r="I58">
            <v>8</v>
          </cell>
          <cell r="J58">
            <v>46</v>
          </cell>
          <cell r="K58">
            <v>92</v>
          </cell>
          <cell r="L58">
            <v>16</v>
          </cell>
          <cell r="M58">
            <v>8</v>
          </cell>
          <cell r="N58">
            <v>46</v>
          </cell>
          <cell r="O58">
            <v>368</v>
          </cell>
          <cell r="P58">
            <v>64</v>
          </cell>
          <cell r="Y58">
            <v>80</v>
          </cell>
          <cell r="Z58" t="str">
            <v>488x190xPL8</v>
          </cell>
          <cell r="AA58">
            <v>5.8</v>
          </cell>
          <cell r="AC58">
            <v>5.8</v>
          </cell>
        </row>
        <row r="59">
          <cell r="B59" t="str">
            <v>MS 3C</v>
          </cell>
          <cell r="C59" t="str">
            <v>338x190xPL8</v>
          </cell>
          <cell r="D59">
            <v>4</v>
          </cell>
          <cell r="E59">
            <v>24</v>
          </cell>
          <cell r="F59">
            <v>96</v>
          </cell>
          <cell r="G59">
            <v>1344</v>
          </cell>
          <cell r="H59">
            <v>336</v>
          </cell>
          <cell r="I59">
            <v>16</v>
          </cell>
          <cell r="J59">
            <v>64</v>
          </cell>
          <cell r="K59">
            <v>128</v>
          </cell>
          <cell r="L59">
            <v>32</v>
          </cell>
          <cell r="M59">
            <v>8</v>
          </cell>
          <cell r="N59">
            <v>32</v>
          </cell>
          <cell r="O59">
            <v>256</v>
          </cell>
          <cell r="P59">
            <v>64</v>
          </cell>
          <cell r="Y59">
            <v>432</v>
          </cell>
          <cell r="Z59" t="str">
            <v>338x190xPL8</v>
          </cell>
          <cell r="AA59">
            <v>4</v>
          </cell>
          <cell r="AC59">
            <v>4</v>
          </cell>
        </row>
        <row r="60">
          <cell r="B60" t="str">
            <v>MS 4</v>
          </cell>
          <cell r="C60" t="str">
            <v>674x125xPL16</v>
          </cell>
          <cell r="D60">
            <v>11</v>
          </cell>
          <cell r="E60">
            <v>0</v>
          </cell>
          <cell r="F60">
            <v>0</v>
          </cell>
          <cell r="G60">
            <v>0</v>
          </cell>
          <cell r="H60">
            <v>0</v>
          </cell>
          <cell r="I60">
            <v>32</v>
          </cell>
          <cell r="J60">
            <v>352</v>
          </cell>
          <cell r="K60">
            <v>704</v>
          </cell>
          <cell r="L60">
            <v>64</v>
          </cell>
          <cell r="M60">
            <v>40</v>
          </cell>
          <cell r="N60">
            <v>440</v>
          </cell>
          <cell r="O60">
            <v>3520</v>
          </cell>
          <cell r="P60">
            <v>320</v>
          </cell>
          <cell r="Y60">
            <v>384</v>
          </cell>
          <cell r="Z60" t="str">
            <v>674x125xPL16</v>
          </cell>
          <cell r="AA60">
            <v>11</v>
          </cell>
          <cell r="AC60">
            <v>11</v>
          </cell>
        </row>
        <row r="61">
          <cell r="B61" t="str">
            <v>MS 5</v>
          </cell>
          <cell r="C61" t="str">
            <v>674x125xPL12</v>
          </cell>
          <cell r="D61">
            <v>7.9</v>
          </cell>
          <cell r="E61">
            <v>56</v>
          </cell>
          <cell r="F61">
            <v>442</v>
          </cell>
          <cell r="G61">
            <v>6188</v>
          </cell>
          <cell r="H61">
            <v>784</v>
          </cell>
          <cell r="I61">
            <v>32</v>
          </cell>
          <cell r="J61">
            <v>253</v>
          </cell>
          <cell r="K61">
            <v>506</v>
          </cell>
          <cell r="L61">
            <v>64</v>
          </cell>
          <cell r="M61">
            <v>32</v>
          </cell>
          <cell r="N61">
            <v>253</v>
          </cell>
          <cell r="O61">
            <v>2024</v>
          </cell>
          <cell r="P61">
            <v>256</v>
          </cell>
          <cell r="Y61">
            <v>1104</v>
          </cell>
          <cell r="Z61" t="str">
            <v>674x125xPL12</v>
          </cell>
          <cell r="AA61">
            <v>7.9</v>
          </cell>
          <cell r="AC61">
            <v>7.9</v>
          </cell>
        </row>
        <row r="62">
          <cell r="B62" t="str">
            <v>MS 6A</v>
          </cell>
          <cell r="C62" t="str">
            <v>622x190xPL14</v>
          </cell>
          <cell r="D62">
            <v>13</v>
          </cell>
          <cell r="E62">
            <v>0</v>
          </cell>
          <cell r="F62">
            <v>0</v>
          </cell>
          <cell r="G62">
            <v>0</v>
          </cell>
          <cell r="H62">
            <v>0</v>
          </cell>
          <cell r="I62">
            <v>0</v>
          </cell>
          <cell r="J62">
            <v>0</v>
          </cell>
          <cell r="K62">
            <v>0</v>
          </cell>
          <cell r="L62">
            <v>0</v>
          </cell>
          <cell r="M62">
            <v>12</v>
          </cell>
          <cell r="N62">
            <v>156</v>
          </cell>
          <cell r="O62">
            <v>1248</v>
          </cell>
          <cell r="P62">
            <v>96</v>
          </cell>
          <cell r="Y62">
            <v>96</v>
          </cell>
          <cell r="Z62" t="str">
            <v>622x190xPL14</v>
          </cell>
          <cell r="AA62">
            <v>13</v>
          </cell>
          <cell r="AC62">
            <v>13</v>
          </cell>
        </row>
        <row r="63">
          <cell r="B63" t="str">
            <v>MS 6B</v>
          </cell>
          <cell r="C63" t="str">
            <v>672x190xPL8</v>
          </cell>
          <cell r="D63">
            <v>5.6</v>
          </cell>
          <cell r="E63">
            <v>0</v>
          </cell>
          <cell r="F63">
            <v>0</v>
          </cell>
          <cell r="G63">
            <v>0</v>
          </cell>
          <cell r="H63">
            <v>0</v>
          </cell>
          <cell r="I63">
            <v>0</v>
          </cell>
          <cell r="J63">
            <v>0</v>
          </cell>
          <cell r="K63">
            <v>0</v>
          </cell>
          <cell r="L63">
            <v>0</v>
          </cell>
          <cell r="M63">
            <v>8</v>
          </cell>
          <cell r="N63">
            <v>45</v>
          </cell>
          <cell r="O63">
            <v>360</v>
          </cell>
          <cell r="P63">
            <v>64</v>
          </cell>
          <cell r="Y63">
            <v>64</v>
          </cell>
          <cell r="Z63" t="str">
            <v>672x190xPL8</v>
          </cell>
          <cell r="AA63">
            <v>5.6</v>
          </cell>
          <cell r="AC63">
            <v>5.6</v>
          </cell>
        </row>
        <row r="64">
          <cell r="B64" t="str">
            <v>MS 6C</v>
          </cell>
          <cell r="C64" t="str">
            <v>322x190xPL8</v>
          </cell>
          <cell r="D64">
            <v>3.8</v>
          </cell>
          <cell r="E64">
            <v>28</v>
          </cell>
          <cell r="F64">
            <v>106</v>
          </cell>
          <cell r="G64">
            <v>1484</v>
          </cell>
          <cell r="H64">
            <v>392</v>
          </cell>
          <cell r="I64">
            <v>32</v>
          </cell>
          <cell r="J64">
            <v>122</v>
          </cell>
          <cell r="K64">
            <v>244</v>
          </cell>
          <cell r="L64">
            <v>64</v>
          </cell>
          <cell r="M64">
            <v>16</v>
          </cell>
          <cell r="N64">
            <v>61</v>
          </cell>
          <cell r="O64">
            <v>488</v>
          </cell>
          <cell r="P64">
            <v>128</v>
          </cell>
          <cell r="Y64">
            <v>584</v>
          </cell>
          <cell r="Z64" t="str">
            <v>322x190xPL8</v>
          </cell>
          <cell r="AA64">
            <v>3.8</v>
          </cell>
          <cell r="AC64">
            <v>3.8</v>
          </cell>
        </row>
        <row r="65">
          <cell r="B65" t="str">
            <v>MS 7</v>
          </cell>
          <cell r="C65" t="str">
            <v>463x180xPL10</v>
          </cell>
          <cell r="D65">
            <v>6.5</v>
          </cell>
          <cell r="E65">
            <v>16</v>
          </cell>
          <cell r="F65">
            <v>104</v>
          </cell>
          <cell r="G65">
            <v>1456</v>
          </cell>
          <cell r="H65">
            <v>224</v>
          </cell>
          <cell r="I65">
            <v>32</v>
          </cell>
          <cell r="J65">
            <v>208</v>
          </cell>
          <cell r="K65">
            <v>416</v>
          </cell>
          <cell r="L65">
            <v>64</v>
          </cell>
          <cell r="M65">
            <v>48</v>
          </cell>
          <cell r="N65">
            <v>312</v>
          </cell>
          <cell r="O65">
            <v>2496</v>
          </cell>
          <cell r="P65">
            <v>384</v>
          </cell>
          <cell r="Y65">
            <v>672</v>
          </cell>
          <cell r="Z65" t="str">
            <v>463x180xPL10</v>
          </cell>
          <cell r="AA65">
            <v>6.5</v>
          </cell>
          <cell r="AC65">
            <v>6.5</v>
          </cell>
        </row>
        <row r="67">
          <cell r="B67" t="str">
            <v>PACK/FILLER</v>
          </cell>
          <cell r="E67">
            <v>256</v>
          </cell>
          <cell r="F67">
            <v>1347</v>
          </cell>
          <cell r="G67">
            <v>18858</v>
          </cell>
          <cell r="H67">
            <v>3584</v>
          </cell>
          <cell r="I67">
            <v>296</v>
          </cell>
          <cell r="J67">
            <v>1488</v>
          </cell>
          <cell r="K67">
            <v>2976</v>
          </cell>
          <cell r="L67">
            <v>592</v>
          </cell>
          <cell r="M67">
            <v>304</v>
          </cell>
          <cell r="N67">
            <v>1443</v>
          </cell>
          <cell r="O67">
            <v>11544</v>
          </cell>
          <cell r="P67">
            <v>2432</v>
          </cell>
          <cell r="Q67">
            <v>1</v>
          </cell>
          <cell r="R67">
            <v>1347</v>
          </cell>
          <cell r="S67">
            <v>2694</v>
          </cell>
          <cell r="T67">
            <v>2694</v>
          </cell>
          <cell r="U67">
            <v>1</v>
          </cell>
          <cell r="V67">
            <v>1347</v>
          </cell>
          <cell r="W67">
            <v>2694</v>
          </cell>
          <cell r="X67">
            <v>2694</v>
          </cell>
        </row>
        <row r="68">
          <cell r="B68" t="str">
            <v>MS 10</v>
          </cell>
          <cell r="C68" t="str">
            <v>306x304xPL3,2</v>
          </cell>
          <cell r="D68">
            <v>2.2999999999999998</v>
          </cell>
          <cell r="E68">
            <v>8</v>
          </cell>
          <cell r="F68">
            <v>18</v>
          </cell>
          <cell r="G68">
            <v>252</v>
          </cell>
          <cell r="H68">
            <v>112</v>
          </cell>
          <cell r="I68">
            <v>16</v>
          </cell>
          <cell r="J68">
            <v>37</v>
          </cell>
          <cell r="K68">
            <v>74</v>
          </cell>
          <cell r="L68">
            <v>32</v>
          </cell>
          <cell r="M68">
            <v>0</v>
          </cell>
          <cell r="N68">
            <v>0</v>
          </cell>
          <cell r="O68">
            <v>0</v>
          </cell>
          <cell r="P68">
            <v>0</v>
          </cell>
          <cell r="Y68">
            <v>144</v>
          </cell>
          <cell r="Z68" t="str">
            <v>306x304xPL3,2</v>
          </cell>
          <cell r="AA68">
            <v>2.2999999999999998</v>
          </cell>
          <cell r="AC68">
            <v>2.2999999999999998</v>
          </cell>
        </row>
        <row r="69">
          <cell r="B69" t="str">
            <v>MS 11</v>
          </cell>
          <cell r="C69" t="str">
            <v>306x304xPL5</v>
          </cell>
          <cell r="D69">
            <v>3.7</v>
          </cell>
          <cell r="E69">
            <v>16</v>
          </cell>
          <cell r="F69">
            <v>59</v>
          </cell>
          <cell r="G69">
            <v>826</v>
          </cell>
          <cell r="H69">
            <v>224</v>
          </cell>
          <cell r="I69">
            <v>24</v>
          </cell>
          <cell r="J69">
            <v>89</v>
          </cell>
          <cell r="K69">
            <v>178</v>
          </cell>
          <cell r="L69">
            <v>48</v>
          </cell>
          <cell r="M69">
            <v>16</v>
          </cell>
          <cell r="N69">
            <v>59</v>
          </cell>
          <cell r="O69">
            <v>472</v>
          </cell>
          <cell r="P69">
            <v>128</v>
          </cell>
          <cell r="Y69">
            <v>400</v>
          </cell>
          <cell r="Z69" t="str">
            <v>306x304xPL5</v>
          </cell>
          <cell r="AA69">
            <v>3.7</v>
          </cell>
          <cell r="AC69">
            <v>3.7</v>
          </cell>
        </row>
        <row r="70">
          <cell r="B70" t="str">
            <v>MS 12</v>
          </cell>
          <cell r="C70" t="str">
            <v>306x304xPL8</v>
          </cell>
          <cell r="D70">
            <v>5.8</v>
          </cell>
          <cell r="E70">
            <v>80</v>
          </cell>
          <cell r="F70">
            <v>464</v>
          </cell>
          <cell r="G70">
            <v>6496</v>
          </cell>
          <cell r="H70">
            <v>1120</v>
          </cell>
          <cell r="I70">
            <v>64</v>
          </cell>
          <cell r="J70">
            <v>371</v>
          </cell>
          <cell r="K70">
            <v>742</v>
          </cell>
          <cell r="L70">
            <v>128</v>
          </cell>
          <cell r="M70">
            <v>48</v>
          </cell>
          <cell r="N70">
            <v>278</v>
          </cell>
          <cell r="O70">
            <v>2224</v>
          </cell>
          <cell r="P70">
            <v>384</v>
          </cell>
          <cell r="Y70">
            <v>1632</v>
          </cell>
          <cell r="Z70" t="str">
            <v>306x304xPL8</v>
          </cell>
          <cell r="AA70">
            <v>5.8</v>
          </cell>
          <cell r="AC70">
            <v>5.8</v>
          </cell>
        </row>
        <row r="71">
          <cell r="B71" t="str">
            <v>MS 13</v>
          </cell>
          <cell r="C71" t="str">
            <v>406x304xPL8</v>
          </cell>
          <cell r="D71">
            <v>7.8</v>
          </cell>
          <cell r="E71">
            <v>16</v>
          </cell>
          <cell r="F71">
            <v>125</v>
          </cell>
          <cell r="G71">
            <v>1750</v>
          </cell>
          <cell r="H71">
            <v>224</v>
          </cell>
          <cell r="I71">
            <v>16</v>
          </cell>
          <cell r="J71">
            <v>125</v>
          </cell>
          <cell r="K71">
            <v>250</v>
          </cell>
          <cell r="L71">
            <v>32</v>
          </cell>
          <cell r="M71">
            <v>16</v>
          </cell>
          <cell r="N71">
            <v>125</v>
          </cell>
          <cell r="O71">
            <v>1000</v>
          </cell>
          <cell r="P71">
            <v>128</v>
          </cell>
          <cell r="Y71">
            <v>384</v>
          </cell>
          <cell r="Z71" t="str">
            <v>406x304xPL8</v>
          </cell>
          <cell r="AA71">
            <v>7.8</v>
          </cell>
          <cell r="AC71">
            <v>7.8</v>
          </cell>
        </row>
        <row r="72">
          <cell r="B72" t="str">
            <v>MS 18</v>
          </cell>
          <cell r="C72" t="str">
            <v>190x130xPL1,2</v>
          </cell>
          <cell r="D72">
            <v>0.2</v>
          </cell>
          <cell r="E72">
            <v>8</v>
          </cell>
          <cell r="F72">
            <v>2</v>
          </cell>
          <cell r="G72">
            <v>28</v>
          </cell>
          <cell r="H72">
            <v>112</v>
          </cell>
          <cell r="I72">
            <v>8</v>
          </cell>
          <cell r="J72">
            <v>2</v>
          </cell>
          <cell r="K72">
            <v>4</v>
          </cell>
          <cell r="L72">
            <v>16</v>
          </cell>
          <cell r="M72">
            <v>16</v>
          </cell>
          <cell r="N72">
            <v>3</v>
          </cell>
          <cell r="O72">
            <v>24</v>
          </cell>
          <cell r="P72">
            <v>128</v>
          </cell>
          <cell r="Y72">
            <v>256</v>
          </cell>
          <cell r="Z72" t="str">
            <v>190x130xPL1,2</v>
          </cell>
          <cell r="AA72">
            <v>0.2</v>
          </cell>
          <cell r="AC72">
            <v>0.2</v>
          </cell>
        </row>
        <row r="73">
          <cell r="B73" t="str">
            <v>MS 19</v>
          </cell>
          <cell r="C73" t="str">
            <v>190x130xPL2</v>
          </cell>
          <cell r="D73">
            <v>0.4</v>
          </cell>
          <cell r="E73">
            <v>0</v>
          </cell>
          <cell r="F73">
            <v>0</v>
          </cell>
          <cell r="G73">
            <v>0</v>
          </cell>
          <cell r="H73">
            <v>0</v>
          </cell>
          <cell r="I73">
            <v>8</v>
          </cell>
          <cell r="J73">
            <v>3</v>
          </cell>
          <cell r="K73">
            <v>6</v>
          </cell>
          <cell r="L73">
            <v>16</v>
          </cell>
          <cell r="M73">
            <v>8</v>
          </cell>
          <cell r="N73">
            <v>3</v>
          </cell>
          <cell r="O73">
            <v>24</v>
          </cell>
          <cell r="P73">
            <v>64</v>
          </cell>
          <cell r="Y73">
            <v>80</v>
          </cell>
          <cell r="Z73" t="str">
            <v>190x130xPL2</v>
          </cell>
          <cell r="AA73">
            <v>0.4</v>
          </cell>
          <cell r="AC73">
            <v>0.4</v>
          </cell>
        </row>
        <row r="74">
          <cell r="B74" t="str">
            <v>MS 20</v>
          </cell>
          <cell r="C74" t="str">
            <v>280x190xPL2</v>
          </cell>
          <cell r="D74">
            <v>0.8</v>
          </cell>
          <cell r="E74">
            <v>0</v>
          </cell>
          <cell r="F74">
            <v>0</v>
          </cell>
          <cell r="G74">
            <v>0</v>
          </cell>
          <cell r="H74">
            <v>0</v>
          </cell>
          <cell r="I74">
            <v>0</v>
          </cell>
          <cell r="J74">
            <v>0</v>
          </cell>
          <cell r="K74">
            <v>0</v>
          </cell>
          <cell r="L74">
            <v>0</v>
          </cell>
          <cell r="M74">
            <v>8</v>
          </cell>
          <cell r="N74">
            <v>6</v>
          </cell>
          <cell r="O74">
            <v>48</v>
          </cell>
          <cell r="P74">
            <v>64</v>
          </cell>
          <cell r="Y74">
            <v>64</v>
          </cell>
          <cell r="Z74" t="str">
            <v>280x190xPL2</v>
          </cell>
          <cell r="AA74">
            <v>0.8</v>
          </cell>
          <cell r="AC74">
            <v>0.8</v>
          </cell>
        </row>
        <row r="75">
          <cell r="B75" t="str">
            <v>MS 23</v>
          </cell>
          <cell r="C75" t="str">
            <v>224x180xPL18</v>
          </cell>
          <cell r="D75">
            <v>5.7</v>
          </cell>
          <cell r="E75">
            <v>8</v>
          </cell>
          <cell r="F75">
            <v>46</v>
          </cell>
          <cell r="G75">
            <v>644</v>
          </cell>
          <cell r="H75">
            <v>112</v>
          </cell>
          <cell r="I75">
            <v>8</v>
          </cell>
          <cell r="J75">
            <v>46</v>
          </cell>
          <cell r="K75">
            <v>92</v>
          </cell>
          <cell r="L75">
            <v>16</v>
          </cell>
          <cell r="M75">
            <v>8</v>
          </cell>
          <cell r="N75">
            <v>46</v>
          </cell>
          <cell r="O75">
            <v>368</v>
          </cell>
          <cell r="P75">
            <v>64</v>
          </cell>
          <cell r="Y75">
            <v>192</v>
          </cell>
          <cell r="Z75" t="str">
            <v>224x180xPL18</v>
          </cell>
          <cell r="AA75">
            <v>5.7</v>
          </cell>
          <cell r="AC75">
            <v>5.7</v>
          </cell>
        </row>
        <row r="76">
          <cell r="B76" t="str">
            <v>MS 24</v>
          </cell>
          <cell r="C76" t="str">
            <v>224x180xPL10</v>
          </cell>
          <cell r="D76">
            <v>3.2</v>
          </cell>
          <cell r="E76">
            <v>8</v>
          </cell>
          <cell r="F76">
            <v>26</v>
          </cell>
          <cell r="G76">
            <v>364</v>
          </cell>
          <cell r="H76">
            <v>112</v>
          </cell>
          <cell r="I76">
            <v>24</v>
          </cell>
          <cell r="J76">
            <v>77</v>
          </cell>
          <cell r="K76">
            <v>154</v>
          </cell>
          <cell r="L76">
            <v>48</v>
          </cell>
          <cell r="M76">
            <v>40</v>
          </cell>
          <cell r="N76">
            <v>128</v>
          </cell>
          <cell r="O76">
            <v>1024</v>
          </cell>
          <cell r="P76">
            <v>320</v>
          </cell>
          <cell r="Y76">
            <v>480</v>
          </cell>
          <cell r="Z76" t="str">
            <v>224x180xPL10</v>
          </cell>
          <cell r="AA76">
            <v>3.2</v>
          </cell>
          <cell r="AC76">
            <v>3.2</v>
          </cell>
        </row>
        <row r="77">
          <cell r="B77" t="str">
            <v>MS 26</v>
          </cell>
          <cell r="C77" t="str">
            <v>466x200xPL8</v>
          </cell>
          <cell r="D77">
            <v>5.9</v>
          </cell>
          <cell r="E77">
            <v>32</v>
          </cell>
          <cell r="F77">
            <v>189</v>
          </cell>
          <cell r="G77">
            <v>2646</v>
          </cell>
          <cell r="H77">
            <v>448</v>
          </cell>
          <cell r="I77">
            <v>40</v>
          </cell>
          <cell r="J77">
            <v>236</v>
          </cell>
          <cell r="K77">
            <v>472</v>
          </cell>
          <cell r="L77">
            <v>80</v>
          </cell>
          <cell r="M77">
            <v>32</v>
          </cell>
          <cell r="N77">
            <v>189</v>
          </cell>
          <cell r="O77">
            <v>1512</v>
          </cell>
          <cell r="P77">
            <v>256</v>
          </cell>
          <cell r="Y77">
            <v>784</v>
          </cell>
          <cell r="Z77" t="str">
            <v>466x200xPL8</v>
          </cell>
          <cell r="AA77">
            <v>5.9</v>
          </cell>
          <cell r="AC77">
            <v>5.9</v>
          </cell>
        </row>
        <row r="78">
          <cell r="B78" t="str">
            <v>MS 27</v>
          </cell>
          <cell r="C78" t="str">
            <v>371x200xPL6</v>
          </cell>
          <cell r="D78">
            <v>3.5</v>
          </cell>
          <cell r="E78">
            <v>16</v>
          </cell>
          <cell r="F78">
            <v>56</v>
          </cell>
          <cell r="G78">
            <v>784</v>
          </cell>
          <cell r="H78">
            <v>224</v>
          </cell>
          <cell r="I78">
            <v>16</v>
          </cell>
          <cell r="J78">
            <v>56</v>
          </cell>
          <cell r="K78">
            <v>112</v>
          </cell>
          <cell r="L78">
            <v>32</v>
          </cell>
          <cell r="M78">
            <v>16</v>
          </cell>
          <cell r="N78">
            <v>56</v>
          </cell>
          <cell r="O78">
            <v>448</v>
          </cell>
          <cell r="P78">
            <v>128</v>
          </cell>
          <cell r="Y78">
            <v>384</v>
          </cell>
          <cell r="Z78" t="str">
            <v>371x200xPL6</v>
          </cell>
          <cell r="AA78">
            <v>3.5</v>
          </cell>
          <cell r="AC78">
            <v>3.5</v>
          </cell>
        </row>
        <row r="79">
          <cell r="B79" t="str">
            <v>MS 29</v>
          </cell>
          <cell r="C79" t="str">
            <v>610x200xPL6</v>
          </cell>
          <cell r="D79">
            <v>5.7</v>
          </cell>
          <cell r="E79">
            <v>8</v>
          </cell>
          <cell r="F79">
            <v>46</v>
          </cell>
          <cell r="G79">
            <v>644</v>
          </cell>
          <cell r="H79">
            <v>112</v>
          </cell>
          <cell r="I79">
            <v>8</v>
          </cell>
          <cell r="J79">
            <v>46</v>
          </cell>
          <cell r="K79">
            <v>92</v>
          </cell>
          <cell r="L79">
            <v>16</v>
          </cell>
          <cell r="M79">
            <v>24</v>
          </cell>
          <cell r="N79">
            <v>137</v>
          </cell>
          <cell r="O79">
            <v>1096</v>
          </cell>
          <cell r="P79">
            <v>192</v>
          </cell>
          <cell r="Y79">
            <v>320</v>
          </cell>
          <cell r="Z79" t="str">
            <v>610x200xPL6</v>
          </cell>
          <cell r="AA79">
            <v>5.7</v>
          </cell>
          <cell r="AC79">
            <v>5.7</v>
          </cell>
        </row>
        <row r="80">
          <cell r="B80" t="str">
            <v>MS 30</v>
          </cell>
          <cell r="C80" t="str">
            <v>506x200xPL8</v>
          </cell>
          <cell r="D80">
            <v>6.4</v>
          </cell>
          <cell r="E80">
            <v>32</v>
          </cell>
          <cell r="F80">
            <v>205</v>
          </cell>
          <cell r="G80">
            <v>2870</v>
          </cell>
          <cell r="H80">
            <v>448</v>
          </cell>
          <cell r="I80">
            <v>32</v>
          </cell>
          <cell r="J80">
            <v>205</v>
          </cell>
          <cell r="K80">
            <v>410</v>
          </cell>
          <cell r="L80">
            <v>64</v>
          </cell>
          <cell r="M80">
            <v>32</v>
          </cell>
          <cell r="N80">
            <v>205</v>
          </cell>
          <cell r="O80">
            <v>1640</v>
          </cell>
          <cell r="P80">
            <v>256</v>
          </cell>
          <cell r="Y80">
            <v>768</v>
          </cell>
          <cell r="Z80" t="str">
            <v>506x200xPL8</v>
          </cell>
          <cell r="AA80">
            <v>6.4</v>
          </cell>
          <cell r="AC80">
            <v>6.4</v>
          </cell>
        </row>
        <row r="81">
          <cell r="B81" t="str">
            <v>MS 31</v>
          </cell>
          <cell r="C81" t="str">
            <v>411x200xPL6</v>
          </cell>
          <cell r="D81">
            <v>3.9</v>
          </cell>
          <cell r="E81">
            <v>16</v>
          </cell>
          <cell r="F81">
            <v>62</v>
          </cell>
          <cell r="G81">
            <v>868</v>
          </cell>
          <cell r="H81">
            <v>224</v>
          </cell>
          <cell r="I81">
            <v>8</v>
          </cell>
          <cell r="J81">
            <v>31</v>
          </cell>
          <cell r="K81">
            <v>62</v>
          </cell>
          <cell r="L81">
            <v>16</v>
          </cell>
          <cell r="M81">
            <v>16</v>
          </cell>
          <cell r="N81">
            <v>62</v>
          </cell>
          <cell r="O81">
            <v>496</v>
          </cell>
          <cell r="P81">
            <v>128</v>
          </cell>
          <cell r="Y81">
            <v>368</v>
          </cell>
          <cell r="Z81" t="str">
            <v>411x200xPL6</v>
          </cell>
          <cell r="AA81">
            <v>3.9</v>
          </cell>
          <cell r="AC81">
            <v>3.9</v>
          </cell>
        </row>
        <row r="82">
          <cell r="B82" t="str">
            <v>MS 32</v>
          </cell>
          <cell r="C82" t="str">
            <v>650x200xPL8</v>
          </cell>
          <cell r="D82">
            <v>8.1999999999999993</v>
          </cell>
          <cell r="E82">
            <v>0</v>
          </cell>
          <cell r="F82">
            <v>0</v>
          </cell>
          <cell r="G82">
            <v>0</v>
          </cell>
          <cell r="H82">
            <v>0</v>
          </cell>
          <cell r="I82">
            <v>8</v>
          </cell>
          <cell r="J82">
            <v>66</v>
          </cell>
          <cell r="K82">
            <v>132</v>
          </cell>
          <cell r="L82">
            <v>16</v>
          </cell>
          <cell r="M82">
            <v>0</v>
          </cell>
          <cell r="N82">
            <v>0</v>
          </cell>
          <cell r="O82">
            <v>0</v>
          </cell>
          <cell r="P82">
            <v>0</v>
          </cell>
          <cell r="Y82">
            <v>16</v>
          </cell>
          <cell r="Z82" t="str">
            <v>650x200xPL8</v>
          </cell>
          <cell r="AA82">
            <v>8.1999999999999993</v>
          </cell>
          <cell r="AC82">
            <v>8.1999999999999993</v>
          </cell>
        </row>
        <row r="83">
          <cell r="B83" t="str">
            <v>MS 33</v>
          </cell>
          <cell r="C83" t="str">
            <v>650x200xPL6</v>
          </cell>
          <cell r="D83">
            <v>6.1</v>
          </cell>
          <cell r="E83">
            <v>8</v>
          </cell>
          <cell r="F83">
            <v>49</v>
          </cell>
          <cell r="G83">
            <v>686</v>
          </cell>
          <cell r="H83">
            <v>112</v>
          </cell>
          <cell r="I83">
            <v>16</v>
          </cell>
          <cell r="J83">
            <v>98</v>
          </cell>
          <cell r="K83">
            <v>196</v>
          </cell>
          <cell r="L83">
            <v>32</v>
          </cell>
          <cell r="M83">
            <v>24</v>
          </cell>
          <cell r="N83">
            <v>146</v>
          </cell>
          <cell r="O83">
            <v>1168</v>
          </cell>
          <cell r="P83">
            <v>192</v>
          </cell>
          <cell r="Y83">
            <v>336</v>
          </cell>
          <cell r="Z83" t="str">
            <v>650x200xPL6</v>
          </cell>
          <cell r="AA83">
            <v>6.1</v>
          </cell>
          <cell r="AC83">
            <v>6.1</v>
          </cell>
        </row>
        <row r="85">
          <cell r="B85" t="str">
            <v>ASSEMBLING</v>
          </cell>
          <cell r="E85">
            <v>18</v>
          </cell>
          <cell r="F85">
            <v>506</v>
          </cell>
          <cell r="G85">
            <v>7084</v>
          </cell>
          <cell r="H85">
            <v>252</v>
          </cell>
          <cell r="I85">
            <v>18</v>
          </cell>
          <cell r="J85">
            <v>506</v>
          </cell>
          <cell r="K85">
            <v>1012</v>
          </cell>
          <cell r="L85">
            <v>36</v>
          </cell>
          <cell r="M85">
            <v>18</v>
          </cell>
          <cell r="N85">
            <v>506</v>
          </cell>
          <cell r="O85">
            <v>4048</v>
          </cell>
          <cell r="P85">
            <v>144</v>
          </cell>
          <cell r="Q85">
            <v>1</v>
          </cell>
          <cell r="R85">
            <v>506</v>
          </cell>
          <cell r="S85">
            <v>1012</v>
          </cell>
          <cell r="T85">
            <v>1012</v>
          </cell>
          <cell r="U85">
            <v>1</v>
          </cell>
          <cell r="V85">
            <v>506</v>
          </cell>
          <cell r="W85">
            <v>1012</v>
          </cell>
          <cell r="X85">
            <v>1012</v>
          </cell>
        </row>
        <row r="86">
          <cell r="B86" t="str">
            <v>MBA 3</v>
          </cell>
          <cell r="C86">
            <v>0</v>
          </cell>
          <cell r="D86">
            <v>50</v>
          </cell>
          <cell r="E86">
            <v>4</v>
          </cell>
          <cell r="F86">
            <v>200</v>
          </cell>
          <cell r="G86">
            <v>2800</v>
          </cell>
          <cell r="H86">
            <v>56</v>
          </cell>
          <cell r="I86">
            <v>4</v>
          </cell>
          <cell r="J86">
            <v>200</v>
          </cell>
          <cell r="K86">
            <v>400</v>
          </cell>
          <cell r="L86">
            <v>8</v>
          </cell>
          <cell r="M86">
            <v>4</v>
          </cell>
          <cell r="N86">
            <v>200</v>
          </cell>
          <cell r="O86">
            <v>1600</v>
          </cell>
          <cell r="P86">
            <v>32</v>
          </cell>
          <cell r="Y86">
            <v>96</v>
          </cell>
          <cell r="Z86">
            <v>0</v>
          </cell>
          <cell r="AA86">
            <v>50</v>
          </cell>
          <cell r="AC86">
            <v>50</v>
          </cell>
        </row>
        <row r="87">
          <cell r="B87" t="str">
            <v>MBA 4</v>
          </cell>
          <cell r="C87" t="str">
            <v>360x230xPL10</v>
          </cell>
          <cell r="D87">
            <v>6.5</v>
          </cell>
          <cell r="E87">
            <v>8</v>
          </cell>
          <cell r="F87">
            <v>52</v>
          </cell>
          <cell r="G87">
            <v>728</v>
          </cell>
          <cell r="H87">
            <v>112</v>
          </cell>
          <cell r="I87">
            <v>8</v>
          </cell>
          <cell r="J87">
            <v>52</v>
          </cell>
          <cell r="K87">
            <v>104</v>
          </cell>
          <cell r="L87">
            <v>16</v>
          </cell>
          <cell r="M87">
            <v>8</v>
          </cell>
          <cell r="N87">
            <v>52</v>
          </cell>
          <cell r="O87">
            <v>416</v>
          </cell>
          <cell r="P87">
            <v>64</v>
          </cell>
          <cell r="Y87">
            <v>192</v>
          </cell>
          <cell r="Z87" t="str">
            <v>360x230xPL10</v>
          </cell>
          <cell r="AA87">
            <v>6.5</v>
          </cell>
          <cell r="AC87">
            <v>6.5</v>
          </cell>
        </row>
        <row r="88">
          <cell r="B88" t="str">
            <v>MTP</v>
          </cell>
          <cell r="C88" t="str">
            <v>699x440xPL10</v>
          </cell>
          <cell r="D88">
            <v>24</v>
          </cell>
          <cell r="E88">
            <v>4</v>
          </cell>
          <cell r="F88">
            <v>96</v>
          </cell>
          <cell r="G88">
            <v>1344</v>
          </cell>
          <cell r="H88">
            <v>56</v>
          </cell>
          <cell r="I88">
            <v>4</v>
          </cell>
          <cell r="J88">
            <v>96</v>
          </cell>
          <cell r="K88">
            <v>192</v>
          </cell>
          <cell r="L88">
            <v>8</v>
          </cell>
          <cell r="M88">
            <v>4</v>
          </cell>
          <cell r="N88">
            <v>96</v>
          </cell>
          <cell r="O88">
            <v>768</v>
          </cell>
          <cell r="P88">
            <v>32</v>
          </cell>
          <cell r="Y88">
            <v>96</v>
          </cell>
          <cell r="Z88" t="str">
            <v>699x440xPL10</v>
          </cell>
          <cell r="AA88">
            <v>24</v>
          </cell>
          <cell r="AC88">
            <v>24</v>
          </cell>
        </row>
        <row r="89">
          <cell r="B89" t="str">
            <v>LS</v>
          </cell>
          <cell r="C89" t="str">
            <v>350x175x7x11 - 804</v>
          </cell>
          <cell r="D89">
            <v>79</v>
          </cell>
          <cell r="E89">
            <v>2</v>
          </cell>
          <cell r="F89">
            <v>158</v>
          </cell>
          <cell r="G89">
            <v>2212</v>
          </cell>
          <cell r="H89">
            <v>28</v>
          </cell>
          <cell r="I89">
            <v>2</v>
          </cell>
          <cell r="J89">
            <v>158</v>
          </cell>
          <cell r="K89">
            <v>316</v>
          </cell>
          <cell r="L89">
            <v>4</v>
          </cell>
          <cell r="M89">
            <v>2</v>
          </cell>
          <cell r="N89">
            <v>158</v>
          </cell>
          <cell r="O89">
            <v>1264</v>
          </cell>
          <cell r="P89">
            <v>16</v>
          </cell>
          <cell r="Y89">
            <v>48</v>
          </cell>
          <cell r="Z89" t="str">
            <v>350x175x7x11 - 804</v>
          </cell>
          <cell r="AA89">
            <v>79</v>
          </cell>
          <cell r="AC89">
            <v>79</v>
          </cell>
        </row>
        <row r="91">
          <cell r="B91" t="str">
            <v>SUB TOTAL I</v>
          </cell>
          <cell r="E91">
            <v>814</v>
          </cell>
          <cell r="F91">
            <v>52952</v>
          </cell>
          <cell r="G91">
            <v>741328</v>
          </cell>
          <cell r="H91">
            <v>11396</v>
          </cell>
          <cell r="I91">
            <v>941</v>
          </cell>
          <cell r="J91">
            <v>61130</v>
          </cell>
          <cell r="K91">
            <v>122260</v>
          </cell>
          <cell r="L91">
            <v>1882</v>
          </cell>
          <cell r="M91">
            <v>1036</v>
          </cell>
          <cell r="N91">
            <v>71391</v>
          </cell>
          <cell r="O91">
            <v>571128</v>
          </cell>
          <cell r="P91">
            <v>8288</v>
          </cell>
          <cell r="R91">
            <v>55194.149999999994</v>
          </cell>
          <cell r="S91">
            <v>110388.29999999999</v>
          </cell>
          <cell r="T91">
            <v>114703.71428571426</v>
          </cell>
          <cell r="V91">
            <v>48916.130000000005</v>
          </cell>
          <cell r="W91">
            <v>97832.260000000009</v>
          </cell>
          <cell r="X91">
            <v>101572.28571428571</v>
          </cell>
        </row>
        <row r="93">
          <cell r="B93" t="str">
            <v>WELDED</v>
          </cell>
          <cell r="E93">
            <v>8</v>
          </cell>
          <cell r="F93">
            <v>3536</v>
          </cell>
          <cell r="G93">
            <v>49504</v>
          </cell>
          <cell r="H93">
            <v>112</v>
          </cell>
          <cell r="I93">
            <v>8</v>
          </cell>
          <cell r="J93">
            <v>3536</v>
          </cell>
          <cell r="K93">
            <v>7072</v>
          </cell>
          <cell r="L93">
            <v>16</v>
          </cell>
          <cell r="M93">
            <v>8</v>
          </cell>
          <cell r="N93">
            <v>3536</v>
          </cell>
          <cell r="O93">
            <v>28288</v>
          </cell>
          <cell r="P93">
            <v>64</v>
          </cell>
          <cell r="Q93">
            <v>1</v>
          </cell>
          <cell r="R93">
            <v>3536</v>
          </cell>
          <cell r="S93">
            <v>7072</v>
          </cell>
          <cell r="T93">
            <v>7072</v>
          </cell>
          <cell r="U93">
            <v>1</v>
          </cell>
          <cell r="V93">
            <v>3536</v>
          </cell>
          <cell r="W93">
            <v>7072</v>
          </cell>
          <cell r="X93">
            <v>7072</v>
          </cell>
        </row>
        <row r="94">
          <cell r="B94" t="str">
            <v>DM3</v>
          </cell>
          <cell r="C94" t="str">
            <v>H298x250x8x14 - 6139</v>
          </cell>
          <cell r="D94">
            <v>442</v>
          </cell>
          <cell r="E94">
            <v>8</v>
          </cell>
          <cell r="F94">
            <v>3536</v>
          </cell>
          <cell r="G94">
            <v>49504</v>
          </cell>
          <cell r="H94">
            <v>112</v>
          </cell>
          <cell r="I94">
            <v>4</v>
          </cell>
          <cell r="J94">
            <v>1768</v>
          </cell>
          <cell r="K94">
            <v>3536</v>
          </cell>
          <cell r="L94">
            <v>8</v>
          </cell>
          <cell r="M94">
            <v>8</v>
          </cell>
          <cell r="N94">
            <v>3536</v>
          </cell>
          <cell r="O94">
            <v>28288</v>
          </cell>
          <cell r="P94">
            <v>64</v>
          </cell>
          <cell r="Y94">
            <v>184</v>
          </cell>
          <cell r="Z94" t="str">
            <v>H298x250x8x14 - 6139</v>
          </cell>
          <cell r="AA94">
            <v>442</v>
          </cell>
          <cell r="AC94">
            <v>442</v>
          </cell>
        </row>
        <row r="95">
          <cell r="B95" t="str">
            <v>DM3X</v>
          </cell>
          <cell r="C95" t="str">
            <v>H298x250x8x14 - 6139</v>
          </cell>
          <cell r="D95">
            <v>442</v>
          </cell>
          <cell r="E95">
            <v>0</v>
          </cell>
          <cell r="F95">
            <v>0</v>
          </cell>
          <cell r="G95">
            <v>0</v>
          </cell>
          <cell r="H95">
            <v>0</v>
          </cell>
          <cell r="I95">
            <v>4</v>
          </cell>
          <cell r="J95">
            <v>1768</v>
          </cell>
          <cell r="K95">
            <v>3536</v>
          </cell>
          <cell r="L95">
            <v>8</v>
          </cell>
          <cell r="M95">
            <v>0</v>
          </cell>
          <cell r="N95">
            <v>0</v>
          </cell>
          <cell r="O95">
            <v>0</v>
          </cell>
          <cell r="P95">
            <v>0</v>
          </cell>
          <cell r="Y95">
            <v>8</v>
          </cell>
          <cell r="Z95" t="str">
            <v>H298x250x8x14 - 6139</v>
          </cell>
          <cell r="AA95">
            <v>442</v>
          </cell>
          <cell r="AC95">
            <v>442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Journal"/>
      <sheetName val="SumCostReport"/>
      <sheetName val="DetCostsReport"/>
      <sheetName val="SumActCosts"/>
      <sheetName val="ActualCost"/>
      <sheetName val="MR Jakarta"/>
      <sheetName val="FinanceStatus"/>
      <sheetName val="Det-May"/>
      <sheetName val="Det-Apr"/>
      <sheetName val="Det-Mar"/>
      <sheetName val="ExcRate"/>
      <sheetName val="MDR Detail"/>
      <sheetName val="BL (1)"/>
      <sheetName val="CTRs (HOURS) "/>
      <sheetName val="PMT"/>
      <sheetName val="Eng_Hrs"/>
      <sheetName val="SCHL20"/>
      <sheetName val="rate"/>
      <sheetName val="A(Rev.3)"/>
      <sheetName val="SD"/>
      <sheetName val="Ecer TC"/>
      <sheetName val="TOWN"/>
      <sheetName val="Company Information"/>
      <sheetName val="data base"/>
      <sheetName val="tindak lanj"/>
      <sheetName val="B.2.5.PROC&amp;CONS CIVIL"/>
      <sheetName val="B.2.4.PROC&amp;CONS INST Minahasa"/>
      <sheetName val="B.2.1. PROC &amp; CONS MECH MHP"/>
      <sheetName val="B 2.2 Piping (MHP)"/>
      <sheetName val="B.2.6. PROC&amp;CONS HSE Minahasa"/>
      <sheetName val="MHRS"/>
      <sheetName val="COMMIT REG"/>
      <sheetName val="BILAL2"/>
      <sheetName val="CATS Codes"/>
      <sheetName val="FORM"/>
      <sheetName val="Mat'l databank"/>
      <sheetName val="Premises"/>
      <sheetName val="Detail by Cat"/>
      <sheetName val="Detail"/>
      <sheetName val="Markup"/>
      <sheetName val="Step"/>
      <sheetName val="Summary of BQ Material"/>
      <sheetName val="Sheet1"/>
      <sheetName val="MR_Jakarta"/>
      <sheetName val="Parameter"/>
      <sheetName val="MDR_Detail"/>
      <sheetName val="BL_(1)"/>
      <sheetName val="CTRs_(HOURS)_"/>
      <sheetName val="A(Rev_3)"/>
      <sheetName val="Company_Information"/>
      <sheetName val="Ecer_TC"/>
      <sheetName val="Ammonia"/>
      <sheetName val="General"/>
      <sheetName val="Calendar"/>
      <sheetName val="PivotDetailWeek (2)"/>
      <sheetName val="DATA"/>
      <sheetName val="MH Unit Rates"/>
      <sheetName val="Job Data"/>
      <sheetName val="INPUT DATAS"/>
      <sheetName val="ADDENDUM"/>
      <sheetName val="Div2"/>
      <sheetName val="Simulasi"/>
      <sheetName val="Simulasi Today"/>
      <sheetName val="TAHAP 1"/>
      <sheetName val="Pipe ID"/>
      <sheetName val="prog-C1"/>
      <sheetName val="geo-C1"/>
      <sheetName val="geo-C2"/>
      <sheetName val="Ex_Rate"/>
      <sheetName val="SBY"/>
      <sheetName val="CostEstParam"/>
      <sheetName val="Pipe"/>
      <sheetName val="Global"/>
      <sheetName val="BAHAN"/>
      <sheetName val="RekapDataProyek-hide4print"/>
      <sheetName val="RKUPRKUF"/>
      <sheetName val="REN2000"/>
      <sheetName val="Database"/>
      <sheetName val="J"/>
      <sheetName val="LRKOMP-juni"/>
      <sheetName val="SAP"/>
      <sheetName val="DAF-2"/>
      <sheetName val="RAB"/>
      <sheetName val="Isolasi Luar Dalam"/>
      <sheetName val="Isolasi Luar"/>
      <sheetName val="Direct"/>
      <sheetName val="BONUS"/>
      <sheetName val="RFP003D"/>
      <sheetName val="SUMMARY"/>
      <sheetName val="List Plant"/>
      <sheetName val="RLB"/>
      <sheetName val="Upah dan Bahan "/>
      <sheetName val="Inds &amp; For"/>
      <sheetName val="upah"/>
      <sheetName val="PS2-1"/>
      <sheetName val="PS3-1"/>
      <sheetName val="PS4A-1"/>
      <sheetName val="PS4B-1"/>
      <sheetName val="Summary "/>
      <sheetName val="Eng_Hrs (HO)"/>
      <sheetName val="OrgRates2000"/>
      <sheetName val="SUMBER DAYA"/>
      <sheetName val="Ccs001-CommCost 12-2001-00A"/>
      <sheetName val="Man Power"/>
      <sheetName val="S3"/>
      <sheetName val="Basic Price"/>
      <sheetName val="Droplist"/>
      <sheetName val="011C101"/>
      <sheetName val="Sheet2"/>
      <sheetName val="예총"/>
      <sheetName val="#REF"/>
      <sheetName val="STAND98"/>
      <sheetName val="NP"/>
      <sheetName val="간접인원 급료산출"/>
      <sheetName val="Ins"/>
      <sheetName val="Index"/>
      <sheetName val="RM"/>
      <sheetName val="Sheet1 (2)"/>
      <sheetName val="Gen"/>
      <sheetName val="PSI100FT"/>
      <sheetName val="04. ANALYSIS RESULT"/>
      <sheetName val="geo-A1"/>
      <sheetName val="geo-A2"/>
      <sheetName val="geo-B"/>
      <sheetName val="4.1 Placement w.o.b"/>
      <sheetName val="Tech &amp; Adm 1st envelope"/>
      <sheetName val="Ana"/>
      <sheetName val="QUERY"/>
      <sheetName val="raw data from 21 jul"/>
      <sheetName val="Data_Umum"/>
      <sheetName val="ANTM-N"/>
      <sheetName val="N-ASII"/>
      <sheetName val="AUTO"/>
      <sheetName val="BBCA"/>
      <sheetName val="CTRS"/>
      <sheetName val="N-EPMT"/>
      <sheetName val="N-GGRM"/>
      <sheetName val="J-HMSP"/>
      <sheetName val="N-HMSP"/>
      <sheetName val="IDSR"/>
      <sheetName val="INAF-N"/>
      <sheetName val="N-INDF"/>
      <sheetName val="N-ISAT"/>
      <sheetName val="KAEF"/>
      <sheetName val="N-SMGR"/>
      <sheetName val="SONA"/>
      <sheetName val="TLKM-J"/>
      <sheetName val="N-TLKM"/>
      <sheetName val="TRIM"/>
      <sheetName val="N-UNTR"/>
      <sheetName val="Ex-Rate"/>
      <sheetName val="DataA"/>
      <sheetName val="Scenarios and Sensitivities"/>
      <sheetName val="Global Assumptions"/>
      <sheetName val="GeneralInfo"/>
      <sheetName val="Permanent info"/>
      <sheetName val="Source"/>
      <sheetName val="Utlz03"/>
      <sheetName val="status"/>
      <sheetName val="Cover"/>
      <sheetName val="DESBT"/>
      <sheetName val="LAPD"/>
      <sheetName val="BQ1"/>
      <sheetName val="Compare"/>
      <sheetName val="ocean voyage"/>
      <sheetName val="Peralatan"/>
      <sheetName val="GASATAGG.XLS"/>
      <sheetName val="koef-beton"/>
      <sheetName val="Galian"/>
      <sheetName val="HSUMUM.XLS"/>
      <sheetName val="HSDRAIN.XLS"/>
      <sheetName val="HSTANAH"/>
      <sheetName val="HSBASE"/>
      <sheetName val="HSASPAL"/>
      <sheetName val="HSBETON"/>
      <sheetName val="HSSTRUK"/>
      <sheetName val="HSMISC.XLS"/>
      <sheetName val="Desc.21"/>
      <sheetName val="AA_Eng"/>
      <sheetName val="Art"/>
      <sheetName val="Anal"/>
      <sheetName val="U_rate"/>
      <sheetName val="CPAoC"/>
      <sheetName val="Entry  HTM"/>
      <sheetName val="akun"/>
      <sheetName val="Calcu 02"/>
      <sheetName val="@RISK Correlations"/>
      <sheetName val="Internal"/>
      <sheetName val="API Table"/>
      <sheetName val="Qall of Cooler"/>
      <sheetName val="Log-Log"/>
      <sheetName val="OTHER INCOME &amp; BY PERDIVISI"/>
      <sheetName val="BASE-PL1(H-shape)(OLD)"/>
      <sheetName val="JE-2"/>
      <sheetName val="UPAH + ALAT"/>
      <sheetName val="vessel weight"/>
      <sheetName val="DWTables"/>
      <sheetName val="LT-061"/>
      <sheetName val="1.Analisa Design"/>
      <sheetName val="Data Rekening"/>
      <sheetName val="SUPPEXT"/>
      <sheetName val="analisa_gedung"/>
      <sheetName val="AsumsiDasar"/>
      <sheetName val="All National"/>
      <sheetName val="LKO_1"/>
      <sheetName val="BS"/>
      <sheetName val="P&amp;L"/>
      <sheetName val="GUT"/>
      <sheetName val="Gaji-Bag"/>
      <sheetName val="BILPL97"/>
      <sheetName val="Ratios, Margins &amp; Multiples"/>
      <sheetName val="Lamp 1 - Unit Rate"/>
      <sheetName val="HARGA MATERIAL"/>
      <sheetName val="oracle"/>
      <sheetName val="2004"/>
      <sheetName val="juli'99"/>
      <sheetName val="UPAH &amp; HARGA"/>
      <sheetName val="1"/>
      <sheetName val="2"/>
      <sheetName val="3"/>
      <sheetName val="4"/>
      <sheetName val="13"/>
      <sheetName val="5"/>
      <sheetName val="7"/>
      <sheetName val="6"/>
      <sheetName val="8"/>
      <sheetName val="11"/>
      <sheetName val="9"/>
      <sheetName val="10"/>
      <sheetName val="12"/>
      <sheetName val="OH"/>
      <sheetName val="FORM-01"/>
      <sheetName val="BL-PL-CEN"/>
      <sheetName val="tunda2"/>
      <sheetName val="MATERIAL"/>
      <sheetName val="Struktur Gas"/>
      <sheetName val="F8.5-OWN"/>
      <sheetName val="Dsr Hitung"/>
      <sheetName val="STRUKTUR"/>
      <sheetName val="upah-bahan"/>
      <sheetName val="V-1-1002bid"/>
      <sheetName val="Analisa"/>
      <sheetName val="MING"/>
      <sheetName val="An 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v>36951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BP STC-0295"/>
      <sheetName val="DOC INV STC-0295"/>
      <sheetName val="CURVE 0295"/>
      <sheetName val="INV SUM"/>
      <sheetName val="INVOICE HISTORY BY MONTH"/>
      <sheetName val="FINANCE INVOICE"/>
      <sheetName val="MASTER"/>
      <sheetName val="INVOICE SUMMARY"/>
      <sheetName val="WO#14"/>
      <sheetName val="WO#32"/>
      <sheetName val="WO#36"/>
      <sheetName val="wo#49"/>
      <sheetName val="WO#50"/>
      <sheetName val="WO#51"/>
      <sheetName val="WO#54"/>
      <sheetName val="WO#63"/>
      <sheetName val="WO#66"/>
      <sheetName val="WO#66A"/>
      <sheetName val="WO#70"/>
      <sheetName val="WO#72"/>
      <sheetName val="WO#73"/>
      <sheetName val="WO#74"/>
      <sheetName val="WO#77"/>
      <sheetName val="WO#86"/>
      <sheetName val="WO#87"/>
      <sheetName val="WO#95"/>
      <sheetName val="WO#97"/>
      <sheetName val="WO#98"/>
      <sheetName val="Summary"/>
      <sheetName val="Budget Mhrs-Mapping"/>
      <sheetName val="Mhrs Consume"/>
      <sheetName val="PLAN 0295"/>
      <sheetName val="PLAN 0436"/>
      <sheetName val="Sheet1"/>
      <sheetName val="#REF"/>
      <sheetName val="manpwr cost brkdwn"/>
      <sheetName val="variable"/>
      <sheetName val="ExcRate"/>
      <sheetName val="BL (1)"/>
      <sheetName val="GAJI-BAPPENAS (2)"/>
      <sheetName val="CTRs (HOURS)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Z36"/>
  <sheetViews>
    <sheetView showGridLines="0" view="pageBreakPreview" zoomScale="75" zoomScaleNormal="70" zoomScaleSheetLayoutView="40" workbookViewId="0">
      <selection activeCell="M10" sqref="M10"/>
    </sheetView>
  </sheetViews>
  <sheetFormatPr baseColWidth="10" defaultColWidth="8.6640625" defaultRowHeight="14"/>
  <cols>
    <col min="1" max="1" width="1.1640625" style="518" customWidth="1"/>
    <col min="2" max="2" width="5" style="518" customWidth="1"/>
    <col min="3" max="6" width="7.1640625" style="519" customWidth="1"/>
    <col min="7" max="7" width="8.1640625" style="519" customWidth="1"/>
    <col min="8" max="8" width="13.5" style="519" customWidth="1"/>
    <col min="9" max="9" width="15.6640625" style="519" customWidth="1"/>
    <col min="10" max="10" width="40.1640625" style="518" customWidth="1"/>
    <col min="11" max="11" width="25" style="518" customWidth="1"/>
    <col min="12" max="12" width="1.5" style="518" customWidth="1"/>
    <col min="13" max="13" width="8.6640625" style="518"/>
    <col min="14" max="14" width="5.33203125" style="518" bestFit="1" customWidth="1"/>
    <col min="15" max="15" width="1.33203125" style="518" customWidth="1"/>
    <col min="16" max="16" width="15.1640625" style="518" customWidth="1"/>
    <col min="17" max="17" width="9.33203125" style="518" customWidth="1"/>
    <col min="18" max="23" width="8.6640625" style="518"/>
    <col min="24" max="24" width="14.83203125" style="518" customWidth="1"/>
    <col min="25" max="25" width="3.1640625" style="518" customWidth="1"/>
    <col min="26" max="26" width="17.1640625" style="518" customWidth="1"/>
    <col min="27" max="16384" width="8.6640625" style="518"/>
  </cols>
  <sheetData>
    <row r="1" spans="2:26" ht="15" thickBot="1">
      <c r="X1" s="518" t="s">
        <v>77</v>
      </c>
      <c r="Y1" s="518" t="s">
        <v>29</v>
      </c>
      <c r="Z1" s="518" t="s">
        <v>191</v>
      </c>
    </row>
    <row r="2" spans="2:26" ht="60" customHeight="1" thickBot="1">
      <c r="B2" s="864"/>
      <c r="C2" s="865"/>
      <c r="D2" s="865"/>
      <c r="E2" s="865"/>
      <c r="F2" s="865"/>
      <c r="G2" s="865"/>
      <c r="H2" s="866"/>
      <c r="I2" s="867" t="s">
        <v>160</v>
      </c>
      <c r="J2" s="868"/>
      <c r="K2" s="873"/>
      <c r="L2" s="874"/>
      <c r="M2" s="874"/>
      <c r="N2" s="874"/>
      <c r="O2" s="874"/>
      <c r="P2" s="874"/>
      <c r="Q2" s="875"/>
      <c r="U2" s="838" t="s">
        <v>0</v>
      </c>
      <c r="V2" s="838"/>
      <c r="W2" s="838"/>
      <c r="X2" s="518" t="s">
        <v>231</v>
      </c>
      <c r="Y2" s="772" t="s">
        <v>29</v>
      </c>
      <c r="Z2" s="773" t="s">
        <v>232</v>
      </c>
    </row>
    <row r="3" spans="2:26" ht="50" customHeight="1">
      <c r="B3" s="876" t="s">
        <v>192</v>
      </c>
      <c r="C3" s="877"/>
      <c r="D3" s="877"/>
      <c r="E3" s="877"/>
      <c r="F3" s="877"/>
      <c r="G3" s="877"/>
      <c r="H3" s="878"/>
      <c r="I3" s="869"/>
      <c r="J3" s="870"/>
      <c r="K3" s="520" t="s">
        <v>161</v>
      </c>
      <c r="L3" s="521" t="s">
        <v>29</v>
      </c>
      <c r="M3" s="548" t="str">
        <f>Z5</f>
        <v>W2026I-DNGF-EM-100-PRG-WLY-0012</v>
      </c>
      <c r="N3" s="548"/>
      <c r="O3" s="548"/>
      <c r="P3" s="548"/>
      <c r="Q3" s="549"/>
      <c r="X3" s="518" t="s">
        <v>233</v>
      </c>
      <c r="Y3" s="772" t="s">
        <v>29</v>
      </c>
      <c r="Z3" s="773">
        <v>12</v>
      </c>
    </row>
    <row r="4" spans="2:26" ht="48.5" customHeight="1" thickBot="1">
      <c r="B4" s="879" t="s">
        <v>193</v>
      </c>
      <c r="C4" s="880"/>
      <c r="D4" s="880"/>
      <c r="E4" s="880"/>
      <c r="F4" s="880"/>
      <c r="G4" s="880"/>
      <c r="H4" s="881"/>
      <c r="I4" s="869"/>
      <c r="J4" s="870"/>
      <c r="K4" s="522" t="s">
        <v>162</v>
      </c>
      <c r="L4" s="523" t="s">
        <v>29</v>
      </c>
      <c r="M4" s="882" t="s">
        <v>26</v>
      </c>
      <c r="N4" s="883"/>
      <c r="O4" s="883"/>
      <c r="P4" s="883"/>
      <c r="Q4" s="884"/>
      <c r="X4" s="518" t="s">
        <v>235</v>
      </c>
      <c r="Y4" s="518" t="s">
        <v>29</v>
      </c>
      <c r="Z4" s="774" t="s">
        <v>236</v>
      </c>
    </row>
    <row r="5" spans="2:26" ht="28.5" customHeight="1" thickBot="1">
      <c r="B5" s="885" t="s">
        <v>163</v>
      </c>
      <c r="C5" s="886"/>
      <c r="D5" s="886"/>
      <c r="E5" s="886"/>
      <c r="F5" s="886"/>
      <c r="G5" s="886"/>
      <c r="H5" s="887"/>
      <c r="I5" s="869"/>
      <c r="J5" s="870"/>
      <c r="K5" s="522" t="s">
        <v>164</v>
      </c>
      <c r="L5" s="523" t="s">
        <v>29</v>
      </c>
      <c r="M5" s="888" t="str">
        <f>Z10</f>
        <v>29 Juni 2026 - 05 Juli 2026</v>
      </c>
      <c r="N5" s="888"/>
      <c r="O5" s="888"/>
      <c r="P5" s="888"/>
      <c r="Q5" s="889"/>
      <c r="X5" s="518" t="s">
        <v>234</v>
      </c>
      <c r="Y5" s="772" t="s">
        <v>29</v>
      </c>
      <c r="Z5" s="773" t="str">
        <f>CONCATENATE(Z2,"-",TEXT(Z3,Z4))</f>
        <v>W2026I-DNGF-EM-100-PRG-WLY-0012</v>
      </c>
    </row>
    <row r="6" spans="2:26" ht="28.5" customHeight="1" thickBot="1">
      <c r="B6" s="885"/>
      <c r="C6" s="886"/>
      <c r="D6" s="886"/>
      <c r="E6" s="886"/>
      <c r="F6" s="886"/>
      <c r="G6" s="886"/>
      <c r="H6" s="887"/>
      <c r="I6" s="871"/>
      <c r="J6" s="872"/>
      <c r="K6" s="524" t="s">
        <v>165</v>
      </c>
      <c r="L6" s="525" t="s">
        <v>29</v>
      </c>
      <c r="M6" s="526" t="s">
        <v>166</v>
      </c>
      <c r="N6" s="527" t="s">
        <v>167</v>
      </c>
      <c r="O6" s="525" t="s">
        <v>29</v>
      </c>
      <c r="P6" s="890">
        <f>Z9</f>
        <v>46208</v>
      </c>
      <c r="Q6" s="891"/>
    </row>
    <row r="7" spans="2:26" ht="45" customHeight="1">
      <c r="B7" s="528"/>
      <c r="Q7" s="529"/>
    </row>
    <row r="8" spans="2:26" ht="45" customHeight="1">
      <c r="B8" s="528"/>
      <c r="Q8" s="529"/>
      <c r="X8" s="518" t="s">
        <v>237</v>
      </c>
      <c r="Y8" s="518" t="s">
        <v>29</v>
      </c>
      <c r="Z8" s="792">
        <f>HLOOKUP((Z3-1),'Overall MDR_'!BM11:CH12,2,FALSE)+1</f>
        <v>46202</v>
      </c>
    </row>
    <row r="9" spans="2:26" ht="45" customHeight="1">
      <c r="B9" s="528"/>
      <c r="Q9" s="529"/>
      <c r="X9" s="518" t="s">
        <v>238</v>
      </c>
      <c r="Y9" s="518" t="s">
        <v>29</v>
      </c>
      <c r="Z9" s="792">
        <f>HLOOKUP(Z3,'Overall MDR_'!BM11:CH12,2,FALSE)</f>
        <v>46208</v>
      </c>
    </row>
    <row r="10" spans="2:26" ht="45" customHeight="1">
      <c r="B10" s="528"/>
      <c r="Q10" s="529"/>
      <c r="X10" s="518" t="s">
        <v>239</v>
      </c>
      <c r="Y10" s="518" t="s">
        <v>29</v>
      </c>
      <c r="Z10" s="775" t="str">
        <f>TEXT(Z8,"dd mmmm yyyy")&amp;" - "&amp;TEXT(Z9,"dd mmmm yyyy")</f>
        <v>29 Juni 2026 - 05 Juli 2026</v>
      </c>
    </row>
    <row r="11" spans="2:26" ht="45" customHeight="1">
      <c r="B11" s="528"/>
      <c r="I11" s="892" t="s">
        <v>181</v>
      </c>
      <c r="J11" s="893"/>
      <c r="Q11" s="529"/>
    </row>
    <row r="12" spans="2:26" ht="103" customHeight="1">
      <c r="B12" s="528"/>
      <c r="C12" s="895" t="s">
        <v>191</v>
      </c>
      <c r="D12" s="895"/>
      <c r="E12" s="895"/>
      <c r="F12" s="895"/>
      <c r="G12" s="895"/>
      <c r="H12" s="895"/>
      <c r="I12" s="895"/>
      <c r="J12" s="895"/>
      <c r="K12" s="895"/>
      <c r="L12" s="895"/>
      <c r="M12" s="895"/>
      <c r="N12" s="895"/>
      <c r="O12" s="895"/>
      <c r="P12" s="895"/>
      <c r="Q12" s="530"/>
    </row>
    <row r="13" spans="2:26" ht="45" customHeight="1">
      <c r="B13" s="528"/>
      <c r="C13" s="531"/>
      <c r="D13" s="531"/>
      <c r="E13" s="531"/>
      <c r="F13" s="531"/>
      <c r="G13" s="531"/>
      <c r="H13" s="531"/>
      <c r="I13" s="531"/>
      <c r="J13" s="531"/>
      <c r="K13" s="531"/>
      <c r="L13" s="531"/>
      <c r="M13" s="531"/>
      <c r="N13" s="531"/>
      <c r="O13" s="531"/>
      <c r="P13" s="531"/>
      <c r="Q13" s="530"/>
    </row>
    <row r="14" spans="2:26" ht="45" customHeight="1">
      <c r="B14" s="528"/>
      <c r="C14" s="531"/>
      <c r="D14" s="531"/>
      <c r="E14" s="531"/>
      <c r="F14" s="531"/>
      <c r="G14" s="531"/>
      <c r="H14" s="531"/>
      <c r="I14" s="531"/>
      <c r="J14" s="531"/>
      <c r="K14" s="531"/>
      <c r="L14" s="531"/>
      <c r="M14" s="531"/>
      <c r="N14" s="531"/>
      <c r="O14" s="531"/>
      <c r="P14" s="531"/>
      <c r="Q14" s="530"/>
    </row>
    <row r="15" spans="2:26" ht="45" customHeight="1">
      <c r="B15" s="528"/>
      <c r="D15" s="532"/>
      <c r="E15" s="532"/>
      <c r="F15" s="532"/>
      <c r="G15" s="532"/>
      <c r="H15" s="532"/>
      <c r="I15" s="532"/>
      <c r="J15" s="532"/>
      <c r="K15" s="532"/>
      <c r="L15" s="532"/>
      <c r="M15" s="532"/>
      <c r="N15" s="532"/>
      <c r="O15" s="532"/>
      <c r="P15" s="532"/>
      <c r="Q15" s="533"/>
    </row>
    <row r="16" spans="2:26" s="535" customFormat="1" ht="14.5" customHeight="1" thickBot="1">
      <c r="B16" s="534"/>
      <c r="C16" s="852" t="s">
        <v>168</v>
      </c>
      <c r="D16" s="852"/>
      <c r="E16" s="852"/>
      <c r="F16" s="852"/>
      <c r="G16" s="852"/>
      <c r="H16" s="852"/>
      <c r="I16" s="852"/>
      <c r="J16" s="852"/>
      <c r="K16" s="852"/>
      <c r="L16" s="852"/>
      <c r="M16" s="852"/>
      <c r="N16" s="852"/>
      <c r="O16" s="852"/>
      <c r="P16" s="852"/>
      <c r="Q16" s="533"/>
    </row>
    <row r="17" spans="2:17" s="535" customFormat="1" ht="30.5" customHeight="1" thickBot="1">
      <c r="B17" s="534"/>
      <c r="C17" s="854" t="s">
        <v>169</v>
      </c>
      <c r="D17" s="855"/>
      <c r="E17" s="855"/>
      <c r="F17" s="855"/>
      <c r="G17" s="855"/>
      <c r="H17" s="856"/>
      <c r="I17" s="854" t="s">
        <v>170</v>
      </c>
      <c r="J17" s="855"/>
      <c r="K17" s="856"/>
      <c r="L17" s="863" t="s">
        <v>167</v>
      </c>
      <c r="M17" s="863"/>
      <c r="N17" s="863"/>
      <c r="O17" s="863" t="s">
        <v>171</v>
      </c>
      <c r="P17" s="863"/>
      <c r="Q17" s="536"/>
    </row>
    <row r="18" spans="2:17" ht="30.5" customHeight="1" thickBot="1">
      <c r="B18" s="528"/>
      <c r="C18" s="842" t="s">
        <v>179</v>
      </c>
      <c r="D18" s="843"/>
      <c r="E18" s="843"/>
      <c r="F18" s="843"/>
      <c r="G18" s="843"/>
      <c r="H18" s="844"/>
      <c r="I18" s="842" t="s">
        <v>172</v>
      </c>
      <c r="J18" s="843"/>
      <c r="K18" s="844"/>
      <c r="L18" s="846"/>
      <c r="M18" s="846"/>
      <c r="N18" s="846"/>
      <c r="O18" s="846"/>
      <c r="P18" s="846"/>
      <c r="Q18" s="537"/>
    </row>
    <row r="19" spans="2:17" ht="30.5" customHeight="1" thickBot="1">
      <c r="B19" s="528"/>
      <c r="C19" s="842" t="s">
        <v>183</v>
      </c>
      <c r="D19" s="843"/>
      <c r="E19" s="843"/>
      <c r="F19" s="843"/>
      <c r="G19" s="843"/>
      <c r="H19" s="844"/>
      <c r="I19" s="842" t="s">
        <v>184</v>
      </c>
      <c r="J19" s="843"/>
      <c r="K19" s="844"/>
      <c r="L19" s="846"/>
      <c r="M19" s="846"/>
      <c r="N19" s="846"/>
      <c r="O19" s="846"/>
      <c r="P19" s="846"/>
      <c r="Q19" s="537"/>
    </row>
    <row r="20" spans="2:17" ht="30.5" customHeight="1" thickBot="1">
      <c r="B20" s="528"/>
      <c r="C20" s="842" t="s">
        <v>185</v>
      </c>
      <c r="D20" s="843"/>
      <c r="E20" s="843"/>
      <c r="F20" s="843"/>
      <c r="G20" s="843"/>
      <c r="H20" s="844"/>
      <c r="I20" s="842" t="s">
        <v>186</v>
      </c>
      <c r="J20" s="843"/>
      <c r="K20" s="844"/>
      <c r="L20" s="846"/>
      <c r="M20" s="846"/>
      <c r="N20" s="846"/>
      <c r="O20" s="846"/>
      <c r="P20" s="846"/>
      <c r="Q20" s="537"/>
    </row>
    <row r="21" spans="2:17" ht="30.5" customHeight="1" thickBot="1">
      <c r="B21" s="528"/>
      <c r="C21" s="842" t="s">
        <v>187</v>
      </c>
      <c r="D21" s="843"/>
      <c r="E21" s="843"/>
      <c r="F21" s="843"/>
      <c r="G21" s="843"/>
      <c r="H21" s="844"/>
      <c r="I21" s="842" t="s">
        <v>188</v>
      </c>
      <c r="J21" s="843"/>
      <c r="K21" s="844"/>
      <c r="L21" s="846"/>
      <c r="M21" s="846"/>
      <c r="N21" s="846"/>
      <c r="O21" s="846"/>
      <c r="P21" s="846"/>
      <c r="Q21" s="537"/>
    </row>
    <row r="22" spans="2:17" ht="30.5" customHeight="1" thickBot="1">
      <c r="B22" s="528"/>
      <c r="C22" s="842" t="s">
        <v>173</v>
      </c>
      <c r="D22" s="843"/>
      <c r="E22" s="843"/>
      <c r="F22" s="843"/>
      <c r="G22" s="843"/>
      <c r="H22" s="844"/>
      <c r="I22" s="842" t="s">
        <v>189</v>
      </c>
      <c r="J22" s="843"/>
      <c r="K22" s="844"/>
      <c r="L22" s="846"/>
      <c r="M22" s="846"/>
      <c r="N22" s="846"/>
      <c r="O22" s="846"/>
      <c r="P22" s="846"/>
      <c r="Q22" s="537"/>
    </row>
    <row r="23" spans="2:17" ht="30.5" customHeight="1" thickBot="1">
      <c r="B23" s="528"/>
      <c r="C23" s="839" t="s">
        <v>180</v>
      </c>
      <c r="D23" s="840"/>
      <c r="E23" s="840"/>
      <c r="F23" s="840"/>
      <c r="G23" s="840"/>
      <c r="H23" s="841"/>
      <c r="I23" s="842" t="s">
        <v>190</v>
      </c>
      <c r="J23" s="843"/>
      <c r="K23" s="844"/>
      <c r="L23" s="846"/>
      <c r="M23" s="846"/>
      <c r="N23" s="846"/>
      <c r="O23" s="846"/>
      <c r="P23" s="846"/>
      <c r="Q23" s="537"/>
    </row>
    <row r="24" spans="2:17" ht="39.5" customHeight="1" thickBot="1">
      <c r="B24" s="528"/>
      <c r="C24" s="839" t="s">
        <v>182</v>
      </c>
      <c r="D24" s="840"/>
      <c r="E24" s="840"/>
      <c r="F24" s="840"/>
      <c r="G24" s="840"/>
      <c r="H24" s="841"/>
      <c r="I24" s="842" t="s">
        <v>174</v>
      </c>
      <c r="J24" s="843"/>
      <c r="K24" s="844"/>
      <c r="L24" s="845"/>
      <c r="M24" s="846"/>
      <c r="N24" s="846"/>
      <c r="O24" s="846"/>
      <c r="P24" s="846"/>
      <c r="Q24" s="529"/>
    </row>
    <row r="25" spans="2:17" ht="39.5" customHeight="1">
      <c r="B25" s="528"/>
      <c r="J25" s="894"/>
      <c r="K25" s="894"/>
      <c r="L25" s="894"/>
      <c r="Q25" s="529"/>
    </row>
    <row r="26" spans="2:17" ht="39.5" customHeight="1">
      <c r="B26" s="528"/>
      <c r="Q26" s="529"/>
    </row>
    <row r="27" spans="2:17" ht="39.5" customHeight="1">
      <c r="B27" s="528"/>
      <c r="J27" s="894"/>
      <c r="K27" s="894"/>
      <c r="L27" s="894"/>
      <c r="Q27" s="529"/>
    </row>
    <row r="28" spans="2:17" ht="39.5" customHeight="1">
      <c r="B28" s="528"/>
      <c r="Q28" s="529"/>
    </row>
    <row r="29" spans="2:17" ht="17" thickBot="1">
      <c r="B29" s="528"/>
      <c r="C29" s="847" t="s">
        <v>41</v>
      </c>
      <c r="D29" s="847"/>
      <c r="E29" s="847"/>
      <c r="F29" s="847"/>
      <c r="G29" s="847"/>
      <c r="H29" s="847"/>
      <c r="I29" s="847"/>
      <c r="J29" s="847"/>
      <c r="K29" s="847"/>
      <c r="L29" s="847"/>
      <c r="M29" s="847"/>
      <c r="N29" s="847"/>
      <c r="O29" s="847"/>
      <c r="P29" s="847"/>
      <c r="Q29" s="529"/>
    </row>
    <row r="30" spans="2:17" s="519" customFormat="1" ht="24" customHeight="1" thickBot="1">
      <c r="B30" s="538"/>
      <c r="C30" s="848" t="s">
        <v>42</v>
      </c>
      <c r="D30" s="848" t="s">
        <v>43</v>
      </c>
      <c r="E30" s="850"/>
      <c r="F30" s="850"/>
      <c r="G30" s="851"/>
      <c r="H30" s="854" t="s">
        <v>240</v>
      </c>
      <c r="I30" s="855"/>
      <c r="J30" s="855"/>
      <c r="K30" s="856"/>
      <c r="L30" s="848" t="s">
        <v>175</v>
      </c>
      <c r="M30" s="850"/>
      <c r="N30" s="850"/>
      <c r="O30" s="850"/>
      <c r="P30" s="851"/>
      <c r="Q30" s="539"/>
    </row>
    <row r="31" spans="2:17" ht="17" customHeight="1" thickBot="1">
      <c r="B31" s="528"/>
      <c r="C31" s="849"/>
      <c r="D31" s="849"/>
      <c r="E31" s="852"/>
      <c r="F31" s="852"/>
      <c r="G31" s="853"/>
      <c r="H31" s="854" t="s">
        <v>176</v>
      </c>
      <c r="I31" s="856"/>
      <c r="J31" s="540" t="s">
        <v>177</v>
      </c>
      <c r="K31" s="540" t="s">
        <v>178</v>
      </c>
      <c r="L31" s="849"/>
      <c r="M31" s="852"/>
      <c r="N31" s="852"/>
      <c r="O31" s="852"/>
      <c r="P31" s="853"/>
      <c r="Q31" s="529"/>
    </row>
    <row r="32" spans="2:17" ht="44" customHeight="1" thickBot="1">
      <c r="B32" s="528"/>
      <c r="C32" s="541">
        <v>0</v>
      </c>
      <c r="D32" s="860">
        <f>P6</f>
        <v>46208</v>
      </c>
      <c r="E32" s="861"/>
      <c r="F32" s="861"/>
      <c r="G32" s="862"/>
      <c r="H32" s="857" t="s">
        <v>253</v>
      </c>
      <c r="I32" s="859"/>
      <c r="J32" s="542" t="s">
        <v>254</v>
      </c>
      <c r="K32" s="542" t="s">
        <v>255</v>
      </c>
      <c r="L32" s="857" t="s">
        <v>62</v>
      </c>
      <c r="M32" s="858"/>
      <c r="N32" s="858"/>
      <c r="O32" s="858"/>
      <c r="P32" s="859"/>
      <c r="Q32" s="529"/>
    </row>
    <row r="33" spans="2:17" ht="24" customHeight="1" thickBot="1">
      <c r="B33" s="528"/>
      <c r="C33" s="541"/>
      <c r="D33" s="857"/>
      <c r="E33" s="858"/>
      <c r="F33" s="858"/>
      <c r="G33" s="859"/>
      <c r="H33" s="857"/>
      <c r="I33" s="859"/>
      <c r="J33" s="542"/>
      <c r="K33" s="543"/>
      <c r="L33" s="857"/>
      <c r="M33" s="858"/>
      <c r="N33" s="858"/>
      <c r="O33" s="858"/>
      <c r="P33" s="859"/>
      <c r="Q33" s="529"/>
    </row>
    <row r="34" spans="2:17" ht="24" customHeight="1" thickBot="1">
      <c r="B34" s="528"/>
      <c r="C34" s="541"/>
      <c r="D34" s="857"/>
      <c r="E34" s="858"/>
      <c r="F34" s="858"/>
      <c r="G34" s="859"/>
      <c r="H34" s="857"/>
      <c r="I34" s="859"/>
      <c r="J34" s="542"/>
      <c r="K34" s="543"/>
      <c r="L34" s="857"/>
      <c r="M34" s="858"/>
      <c r="N34" s="858"/>
      <c r="O34" s="858"/>
      <c r="P34" s="859"/>
      <c r="Q34" s="529"/>
    </row>
    <row r="35" spans="2:17" ht="24" customHeight="1" thickBot="1">
      <c r="B35" s="528"/>
      <c r="C35" s="541"/>
      <c r="D35" s="857"/>
      <c r="E35" s="858"/>
      <c r="F35" s="858"/>
      <c r="G35" s="859"/>
      <c r="H35" s="857"/>
      <c r="I35" s="859"/>
      <c r="J35" s="542"/>
      <c r="K35" s="543"/>
      <c r="L35" s="857"/>
      <c r="M35" s="858"/>
      <c r="N35" s="858"/>
      <c r="O35" s="858"/>
      <c r="P35" s="859"/>
      <c r="Q35" s="529"/>
    </row>
    <row r="36" spans="2:17" ht="15" thickBot="1">
      <c r="B36" s="544"/>
      <c r="C36" s="545"/>
      <c r="D36" s="545"/>
      <c r="E36" s="545"/>
      <c r="F36" s="545"/>
      <c r="G36" s="545"/>
      <c r="H36" s="545"/>
      <c r="I36" s="545"/>
      <c r="J36" s="546"/>
      <c r="K36" s="546"/>
      <c r="L36" s="546"/>
      <c r="M36" s="546"/>
      <c r="N36" s="546"/>
      <c r="O36" s="546"/>
      <c r="P36" s="546"/>
      <c r="Q36" s="547"/>
    </row>
  </sheetData>
  <mergeCells count="65">
    <mergeCell ref="I11:J11"/>
    <mergeCell ref="J27:L27"/>
    <mergeCell ref="J25:L25"/>
    <mergeCell ref="C22:H22"/>
    <mergeCell ref="I22:K22"/>
    <mergeCell ref="L22:N22"/>
    <mergeCell ref="C20:H20"/>
    <mergeCell ref="I20:K20"/>
    <mergeCell ref="L20:N20"/>
    <mergeCell ref="C21:H21"/>
    <mergeCell ref="I21:K21"/>
    <mergeCell ref="L21:N21"/>
    <mergeCell ref="C12:P12"/>
    <mergeCell ref="C16:P16"/>
    <mergeCell ref="C17:H17"/>
    <mergeCell ref="I17:K17"/>
    <mergeCell ref="B2:H2"/>
    <mergeCell ref="I2:J6"/>
    <mergeCell ref="K2:Q2"/>
    <mergeCell ref="B3:H3"/>
    <mergeCell ref="B4:H4"/>
    <mergeCell ref="M4:Q4"/>
    <mergeCell ref="B5:H6"/>
    <mergeCell ref="M5:Q5"/>
    <mergeCell ref="P6:Q6"/>
    <mergeCell ref="L17:N17"/>
    <mergeCell ref="O17:P17"/>
    <mergeCell ref="C18:H18"/>
    <mergeCell ref="I18:K18"/>
    <mergeCell ref="L18:N18"/>
    <mergeCell ref="O18:P18"/>
    <mergeCell ref="D35:G35"/>
    <mergeCell ref="H35:I35"/>
    <mergeCell ref="L35:P35"/>
    <mergeCell ref="D32:G32"/>
    <mergeCell ref="H32:I32"/>
    <mergeCell ref="L32:P32"/>
    <mergeCell ref="D33:G33"/>
    <mergeCell ref="H33:I33"/>
    <mergeCell ref="L33:P33"/>
    <mergeCell ref="D34:G34"/>
    <mergeCell ref="H34:I34"/>
    <mergeCell ref="L34:P34"/>
    <mergeCell ref="C29:P29"/>
    <mergeCell ref="C30:C31"/>
    <mergeCell ref="D30:G31"/>
    <mergeCell ref="H30:K30"/>
    <mergeCell ref="L30:P31"/>
    <mergeCell ref="H31:I31"/>
    <mergeCell ref="U2:W2"/>
    <mergeCell ref="C24:H24"/>
    <mergeCell ref="I24:K24"/>
    <mergeCell ref="L24:N24"/>
    <mergeCell ref="O24:P24"/>
    <mergeCell ref="C19:H19"/>
    <mergeCell ref="I19:K19"/>
    <mergeCell ref="L19:N19"/>
    <mergeCell ref="O19:P19"/>
    <mergeCell ref="C23:H23"/>
    <mergeCell ref="I23:K23"/>
    <mergeCell ref="L23:N23"/>
    <mergeCell ref="O23:P23"/>
    <mergeCell ref="O22:P22"/>
    <mergeCell ref="O20:P20"/>
    <mergeCell ref="O21:P21"/>
  </mergeCells>
  <pageMargins left="0.7" right="0.7" top="0.75" bottom="0.75" header="0.3" footer="0.3"/>
  <pageSetup paperSize="9" scale="46"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rgb="FFFFFF00"/>
    <pageSetUpPr fitToPage="1"/>
  </sheetPr>
  <dimension ref="A1:P387"/>
  <sheetViews>
    <sheetView view="pageBreakPreview" zoomScaleNormal="70" zoomScaleSheetLayoutView="55" workbookViewId="0">
      <selection activeCell="B22" sqref="B22"/>
    </sheetView>
  </sheetViews>
  <sheetFormatPr baseColWidth="10" defaultColWidth="9.1640625" defaultRowHeight="13"/>
  <cols>
    <col min="1" max="1" width="7.83203125" style="34" customWidth="1"/>
    <col min="2" max="2" width="15.1640625" style="34" customWidth="1"/>
    <col min="3" max="3" width="7.83203125" style="34" customWidth="1"/>
    <col min="4" max="4" width="10.83203125" style="34" customWidth="1"/>
    <col min="5" max="5" width="8.83203125" style="34" customWidth="1"/>
    <col min="6" max="6" width="10.83203125" style="34" customWidth="1"/>
    <col min="7" max="7" width="12.83203125" style="34" customWidth="1"/>
    <col min="8" max="9" width="14.83203125" style="34" customWidth="1"/>
    <col min="10" max="10" width="18.83203125" style="34" customWidth="1"/>
    <col min="11" max="11" width="12.83203125" style="34" customWidth="1"/>
    <col min="12" max="12" width="22.83203125" style="34" customWidth="1"/>
    <col min="13" max="13" width="10.83203125" style="34" customWidth="1"/>
    <col min="14" max="14" width="4.83203125" style="34" customWidth="1"/>
    <col min="15" max="34" width="9.1640625" style="34"/>
    <col min="35" max="35" width="26.1640625" style="34" customWidth="1"/>
    <col min="36" max="16384" width="9.1640625" style="34"/>
  </cols>
  <sheetData>
    <row r="1" spans="1:15" ht="20.25" customHeight="1">
      <c r="A1" s="901"/>
      <c r="B1" s="902"/>
      <c r="C1" s="902"/>
      <c r="D1" s="903"/>
      <c r="E1" s="904" t="s">
        <v>155</v>
      </c>
      <c r="F1" s="905"/>
      <c r="G1" s="905"/>
      <c r="H1" s="905"/>
      <c r="I1" s="905"/>
      <c r="J1" s="905"/>
      <c r="K1" s="905"/>
      <c r="L1" s="905"/>
      <c r="M1" s="905"/>
      <c r="N1" s="906"/>
      <c r="O1" s="33"/>
    </row>
    <row r="2" spans="1:15" ht="20.25" customHeight="1">
      <c r="A2" s="910"/>
      <c r="B2" s="911"/>
      <c r="C2" s="911"/>
      <c r="D2" s="912"/>
      <c r="E2" s="907"/>
      <c r="F2" s="908"/>
      <c r="G2" s="908"/>
      <c r="H2" s="908"/>
      <c r="I2" s="908"/>
      <c r="J2" s="908"/>
      <c r="K2" s="908"/>
      <c r="L2" s="908"/>
      <c r="M2" s="908"/>
      <c r="N2" s="909"/>
      <c r="O2" s="35"/>
    </row>
    <row r="3" spans="1:15" ht="20.25" customHeight="1">
      <c r="A3" s="913"/>
      <c r="B3" s="914"/>
      <c r="C3" s="914"/>
      <c r="D3" s="915"/>
      <c r="E3" s="36" t="s">
        <v>48</v>
      </c>
      <c r="F3" s="37"/>
      <c r="G3" s="37"/>
      <c r="H3" s="37"/>
      <c r="I3" s="37"/>
      <c r="J3" s="37"/>
      <c r="K3" s="38" t="s">
        <v>49</v>
      </c>
      <c r="L3" s="37"/>
      <c r="M3" s="37"/>
      <c r="N3" s="39"/>
      <c r="O3" s="35"/>
    </row>
    <row r="4" spans="1:15" s="44" customFormat="1" ht="20.25" customHeight="1">
      <c r="A4" s="916"/>
      <c r="B4" s="917"/>
      <c r="C4" s="917"/>
      <c r="D4" s="918"/>
      <c r="E4" s="40" t="str">
        <f>'Cover Report'!Z1</f>
        <v>Integrated Management Dashboard Production &amp; Project Zona 13</v>
      </c>
      <c r="F4" s="41"/>
      <c r="G4" s="41"/>
      <c r="H4" s="41"/>
      <c r="I4" s="41"/>
      <c r="J4" s="41"/>
      <c r="K4" s="40" t="str">
        <f>'Cover Report'!Z5</f>
        <v>W2026I-DNGF-EM-100-PRG-WLY-0012</v>
      </c>
      <c r="L4" s="41"/>
      <c r="M4" s="41"/>
      <c r="N4" s="42"/>
      <c r="O4" s="43"/>
    </row>
    <row r="5" spans="1:15" ht="20.25" customHeight="1">
      <c r="A5" s="910"/>
      <c r="B5" s="911"/>
      <c r="C5" s="911"/>
      <c r="D5" s="912"/>
      <c r="E5" s="38" t="s">
        <v>50</v>
      </c>
      <c r="F5" s="45"/>
      <c r="G5" s="45"/>
      <c r="H5" s="45"/>
      <c r="I5" s="45"/>
      <c r="J5" s="46"/>
      <c r="K5" s="919" t="s">
        <v>51</v>
      </c>
      <c r="L5" s="920"/>
      <c r="M5" s="920"/>
      <c r="N5" s="921"/>
      <c r="O5" s="35"/>
    </row>
    <row r="6" spans="1:15" ht="20.25" customHeight="1">
      <c r="A6" s="925"/>
      <c r="B6" s="926"/>
      <c r="C6" s="926"/>
      <c r="D6" s="927"/>
      <c r="E6" s="40" t="s">
        <v>71</v>
      </c>
      <c r="F6" s="47"/>
      <c r="G6" s="47"/>
      <c r="H6" s="47"/>
      <c r="I6" s="47"/>
      <c r="J6" s="48"/>
      <c r="K6" s="922"/>
      <c r="L6" s="923"/>
      <c r="M6" s="923"/>
      <c r="N6" s="924"/>
      <c r="O6" s="35"/>
    </row>
    <row r="7" spans="1:15" ht="13" customHeight="1">
      <c r="A7" s="49"/>
      <c r="B7" s="50"/>
      <c r="C7" s="50"/>
      <c r="D7" s="50"/>
      <c r="E7" s="51"/>
      <c r="F7" s="51"/>
      <c r="G7" s="51"/>
      <c r="H7" s="51"/>
      <c r="I7" s="51"/>
      <c r="J7" s="51"/>
      <c r="K7" s="51"/>
      <c r="L7" s="896"/>
      <c r="M7" s="896"/>
      <c r="N7" s="897"/>
      <c r="O7" s="35"/>
    </row>
    <row r="8" spans="1:15" ht="20.25" customHeight="1">
      <c r="A8" s="241"/>
      <c r="B8" s="242"/>
      <c r="C8" s="242"/>
      <c r="D8" s="242"/>
      <c r="E8" s="242"/>
      <c r="F8" s="242"/>
      <c r="G8" s="242"/>
      <c r="H8" s="242"/>
      <c r="I8" s="242"/>
      <c r="J8" s="242"/>
      <c r="K8" s="242"/>
      <c r="L8" s="242"/>
      <c r="M8" s="242"/>
      <c r="N8" s="243"/>
      <c r="O8" s="33"/>
    </row>
    <row r="9" spans="1:15" ht="29.25" customHeight="1">
      <c r="A9" s="898" t="s">
        <v>52</v>
      </c>
      <c r="B9" s="899"/>
      <c r="C9" s="899"/>
      <c r="D9" s="899"/>
      <c r="E9" s="899"/>
      <c r="F9" s="899"/>
      <c r="G9" s="899"/>
      <c r="H9" s="899"/>
      <c r="I9" s="899"/>
      <c r="J9" s="899"/>
      <c r="K9" s="899"/>
      <c r="L9" s="899"/>
      <c r="M9" s="899"/>
      <c r="N9" s="900"/>
      <c r="O9" s="33"/>
    </row>
    <row r="10" spans="1:15" ht="29.25" customHeight="1">
      <c r="A10" s="55"/>
      <c r="B10" s="56"/>
      <c r="C10" s="56"/>
      <c r="D10" s="56"/>
      <c r="E10" s="56"/>
      <c r="F10" s="56"/>
      <c r="G10" s="56"/>
      <c r="H10" s="56"/>
      <c r="I10" s="56"/>
      <c r="J10" s="56"/>
      <c r="K10" s="56"/>
      <c r="L10" s="56"/>
      <c r="M10" s="56"/>
      <c r="N10" s="57"/>
      <c r="O10" s="33"/>
    </row>
    <row r="11" spans="1:15" ht="20.25" customHeight="1">
      <c r="A11" s="58"/>
      <c r="B11" s="79" t="s">
        <v>53</v>
      </c>
      <c r="C11" s="60"/>
      <c r="D11" s="60"/>
      <c r="E11" s="60"/>
      <c r="F11" s="60"/>
      <c r="G11" s="60"/>
      <c r="H11" s="60"/>
      <c r="I11" s="60"/>
      <c r="J11" s="60"/>
      <c r="K11" s="60"/>
      <c r="L11" s="60"/>
      <c r="M11" s="64" t="s">
        <v>54</v>
      </c>
      <c r="N11" s="62"/>
      <c r="O11" s="33"/>
    </row>
    <row r="12" spans="1:15" ht="20.25" customHeight="1">
      <c r="A12" s="58"/>
      <c r="B12" s="79" t="s">
        <v>52</v>
      </c>
      <c r="C12" s="60"/>
      <c r="D12" s="60"/>
      <c r="E12" s="60"/>
      <c r="F12" s="60"/>
      <c r="G12" s="60"/>
      <c r="H12" s="60"/>
      <c r="I12" s="60"/>
      <c r="J12" s="60"/>
      <c r="K12" s="60"/>
      <c r="L12" s="60"/>
      <c r="M12" s="64" t="s">
        <v>55</v>
      </c>
      <c r="N12" s="62"/>
      <c r="O12" s="33"/>
    </row>
    <row r="13" spans="1:15" ht="20.25" customHeight="1">
      <c r="A13" s="63"/>
      <c r="B13" s="105" t="s">
        <v>56</v>
      </c>
      <c r="C13" s="65"/>
      <c r="D13" s="60"/>
      <c r="E13" s="60"/>
      <c r="F13" s="60"/>
      <c r="G13" s="60"/>
      <c r="H13" s="60"/>
      <c r="I13" s="60"/>
      <c r="J13" s="60"/>
      <c r="K13" s="60"/>
      <c r="L13" s="60"/>
      <c r="M13" s="64" t="s">
        <v>65</v>
      </c>
      <c r="N13" s="62"/>
      <c r="O13" s="33"/>
    </row>
    <row r="14" spans="1:15" ht="20.25" customHeight="1">
      <c r="A14" s="58"/>
      <c r="B14" s="79" t="s">
        <v>76</v>
      </c>
      <c r="C14" s="60"/>
      <c r="D14" s="60"/>
      <c r="E14" s="60"/>
      <c r="F14" s="60"/>
      <c r="G14" s="60"/>
      <c r="H14" s="60"/>
      <c r="I14" s="60"/>
      <c r="J14" s="60"/>
      <c r="K14" s="60"/>
      <c r="L14" s="60"/>
      <c r="M14" s="64" t="s">
        <v>65</v>
      </c>
      <c r="N14" s="62"/>
      <c r="O14" s="33"/>
    </row>
    <row r="15" spans="1:15" ht="20.25" customHeight="1">
      <c r="A15" s="58"/>
      <c r="B15" s="79" t="s">
        <v>82</v>
      </c>
      <c r="C15" s="60"/>
      <c r="D15" s="60"/>
      <c r="E15" s="60"/>
      <c r="F15" s="60"/>
      <c r="G15" s="60"/>
      <c r="H15" s="60"/>
      <c r="I15" s="60"/>
      <c r="J15" s="60"/>
      <c r="K15" s="60"/>
      <c r="L15" s="60"/>
      <c r="M15" s="64" t="s">
        <v>65</v>
      </c>
      <c r="N15" s="62"/>
      <c r="O15" s="33"/>
    </row>
    <row r="16" spans="1:15" ht="20.25" customHeight="1">
      <c r="A16" s="58"/>
      <c r="B16" s="79" t="s">
        <v>158</v>
      </c>
      <c r="C16" s="60"/>
      <c r="D16" s="60"/>
      <c r="E16" s="60"/>
      <c r="F16" s="60"/>
      <c r="G16" s="60"/>
      <c r="H16" s="60"/>
      <c r="I16" s="60"/>
      <c r="J16" s="60"/>
      <c r="K16" s="60"/>
      <c r="L16" s="60"/>
      <c r="M16" s="64"/>
      <c r="N16" s="62"/>
      <c r="O16" s="33"/>
    </row>
    <row r="17" spans="1:15" ht="20.25" customHeight="1">
      <c r="A17" s="58"/>
      <c r="B17" s="79"/>
      <c r="C17" s="60"/>
      <c r="D17" s="60"/>
      <c r="E17" s="60"/>
      <c r="F17" s="60"/>
      <c r="G17" s="60"/>
      <c r="H17" s="60"/>
      <c r="I17" s="60"/>
      <c r="J17" s="60"/>
      <c r="K17" s="60"/>
      <c r="L17" s="60"/>
      <c r="M17" s="64"/>
      <c r="N17" s="62"/>
      <c r="O17" s="33"/>
    </row>
    <row r="18" spans="1:15" ht="20.25" customHeight="1">
      <c r="A18" s="67"/>
      <c r="B18" s="79" t="s">
        <v>83</v>
      </c>
      <c r="C18" s="64"/>
      <c r="D18" s="64"/>
      <c r="E18" s="64"/>
      <c r="F18" s="64"/>
      <c r="G18" s="64"/>
      <c r="H18" s="64"/>
      <c r="I18" s="64"/>
      <c r="J18" s="64"/>
      <c r="K18" s="64"/>
      <c r="L18" s="64"/>
      <c r="M18" s="64"/>
      <c r="N18" s="62"/>
      <c r="O18" s="33"/>
    </row>
    <row r="19" spans="1:15" ht="25" customHeight="1">
      <c r="A19" s="68"/>
      <c r="B19" s="105" t="s">
        <v>84</v>
      </c>
      <c r="C19" s="79" t="s">
        <v>87</v>
      </c>
      <c r="D19" s="69"/>
      <c r="E19" s="69"/>
      <c r="F19" s="69"/>
      <c r="G19" s="69"/>
      <c r="H19" s="69"/>
      <c r="I19" s="69"/>
      <c r="J19" s="69"/>
      <c r="K19" s="69"/>
      <c r="L19" s="69"/>
      <c r="M19" s="69"/>
      <c r="N19" s="70"/>
      <c r="O19" s="33"/>
    </row>
    <row r="20" spans="1:15" ht="25" customHeight="1">
      <c r="A20" s="68"/>
      <c r="B20" s="105" t="s">
        <v>85</v>
      </c>
      <c r="C20" s="79" t="s">
        <v>82</v>
      </c>
      <c r="D20" s="69"/>
      <c r="E20" s="69"/>
      <c r="F20" s="69"/>
      <c r="G20" s="69"/>
      <c r="H20" s="69"/>
      <c r="I20" s="69"/>
      <c r="J20" s="69"/>
      <c r="K20" s="69"/>
      <c r="L20" s="69"/>
      <c r="M20" s="69"/>
      <c r="N20" s="70"/>
      <c r="O20" s="33"/>
    </row>
    <row r="21" spans="1:15" ht="20.25" customHeight="1">
      <c r="A21" s="71"/>
      <c r="B21" s="105" t="s">
        <v>86</v>
      </c>
      <c r="C21" s="79" t="s">
        <v>159</v>
      </c>
      <c r="D21" s="64"/>
      <c r="E21" s="64"/>
      <c r="F21" s="64"/>
      <c r="G21" s="64"/>
      <c r="H21" s="64"/>
      <c r="I21" s="64"/>
      <c r="J21" s="64"/>
      <c r="K21" s="64"/>
      <c r="L21" s="64"/>
      <c r="M21" s="64"/>
      <c r="N21" s="62"/>
      <c r="O21" s="33"/>
    </row>
    <row r="22" spans="1:15" ht="20.25" customHeight="1">
      <c r="A22" s="72"/>
      <c r="B22" s="105" t="s">
        <v>276</v>
      </c>
      <c r="C22" s="105" t="s">
        <v>277</v>
      </c>
      <c r="D22" s="74"/>
      <c r="E22" s="74"/>
      <c r="F22" s="74"/>
      <c r="G22" s="74"/>
      <c r="H22" s="74"/>
      <c r="I22" s="74"/>
      <c r="J22" s="74"/>
      <c r="K22" s="74"/>
      <c r="L22" s="74"/>
      <c r="M22" s="74"/>
      <c r="N22" s="75"/>
      <c r="O22" s="33"/>
    </row>
    <row r="23" spans="1:15" ht="20.25" customHeight="1">
      <c r="A23" s="72"/>
      <c r="B23" s="114"/>
      <c r="C23" s="79"/>
      <c r="D23" s="74"/>
      <c r="E23" s="69"/>
      <c r="F23" s="69"/>
      <c r="G23" s="69"/>
      <c r="H23" s="69"/>
      <c r="I23" s="69"/>
      <c r="J23" s="69"/>
      <c r="K23" s="69"/>
      <c r="L23" s="69"/>
      <c r="M23" s="69"/>
      <c r="N23" s="70"/>
      <c r="O23" s="33"/>
    </row>
    <row r="24" spans="1:15" ht="19.5" customHeight="1">
      <c r="A24" s="72"/>
      <c r="B24" s="76"/>
      <c r="C24" s="60"/>
      <c r="D24" s="74"/>
      <c r="E24" s="69"/>
      <c r="F24" s="69"/>
      <c r="G24" s="69"/>
      <c r="H24" s="69"/>
      <c r="I24" s="69"/>
      <c r="J24" s="69"/>
      <c r="K24" s="69"/>
      <c r="L24" s="69"/>
      <c r="M24" s="69"/>
      <c r="N24" s="70"/>
      <c r="O24" s="33"/>
    </row>
    <row r="25" spans="1:15" ht="12.75" customHeight="1">
      <c r="A25" s="77"/>
      <c r="B25" s="74"/>
      <c r="C25" s="74"/>
      <c r="D25" s="74"/>
      <c r="E25" s="74"/>
      <c r="F25" s="74"/>
      <c r="G25" s="74"/>
      <c r="H25" s="74"/>
      <c r="I25" s="74"/>
      <c r="J25" s="74"/>
      <c r="K25" s="74"/>
      <c r="L25" s="74"/>
      <c r="M25" s="74"/>
      <c r="N25" s="75"/>
      <c r="O25" s="33"/>
    </row>
    <row r="26" spans="1:15" ht="12.75" customHeight="1">
      <c r="A26" s="78"/>
      <c r="B26" s="79"/>
      <c r="C26" s="79"/>
      <c r="D26" s="79"/>
      <c r="E26" s="79"/>
      <c r="F26" s="79"/>
      <c r="G26" s="79"/>
      <c r="H26" s="79"/>
      <c r="I26" s="79"/>
      <c r="J26" s="79"/>
      <c r="K26" s="79"/>
      <c r="L26" s="79"/>
      <c r="M26" s="79"/>
      <c r="N26" s="80"/>
      <c r="O26" s="33"/>
    </row>
    <row r="27" spans="1:15" ht="12.75" customHeight="1">
      <c r="A27" s="81"/>
      <c r="B27" s="82"/>
      <c r="C27" s="82"/>
      <c r="D27" s="82"/>
      <c r="E27" s="82"/>
      <c r="F27" s="82"/>
      <c r="G27" s="82"/>
      <c r="H27" s="82"/>
      <c r="I27" s="82"/>
      <c r="J27" s="82"/>
      <c r="K27" s="82"/>
      <c r="L27" s="82"/>
      <c r="M27" s="82"/>
      <c r="N27" s="83"/>
      <c r="O27" s="33"/>
    </row>
    <row r="28" spans="1:15" ht="12.75" customHeight="1">
      <c r="A28" s="77"/>
      <c r="B28" s="74"/>
      <c r="C28" s="74"/>
      <c r="D28" s="74"/>
      <c r="E28" s="74"/>
      <c r="F28" s="74"/>
      <c r="G28" s="74"/>
      <c r="H28" s="74"/>
      <c r="I28" s="74"/>
      <c r="J28" s="74"/>
      <c r="K28" s="74"/>
      <c r="L28" s="74"/>
      <c r="M28" s="74"/>
      <c r="N28" s="75"/>
      <c r="O28" s="33"/>
    </row>
    <row r="29" spans="1:15" ht="12.75" customHeight="1">
      <c r="A29" s="77"/>
      <c r="B29" s="74"/>
      <c r="C29" s="74"/>
      <c r="D29" s="74"/>
      <c r="E29" s="74"/>
      <c r="F29" s="74"/>
      <c r="G29" s="74"/>
      <c r="H29" s="74"/>
      <c r="I29" s="74"/>
      <c r="J29" s="74"/>
      <c r="K29" s="74"/>
      <c r="L29" s="74"/>
      <c r="M29" s="74"/>
      <c r="N29" s="75"/>
      <c r="O29" s="33"/>
    </row>
    <row r="30" spans="1:15" ht="12.75" customHeight="1">
      <c r="A30" s="67"/>
      <c r="B30" s="64"/>
      <c r="C30" s="64"/>
      <c r="D30" s="64"/>
      <c r="E30" s="64"/>
      <c r="F30" s="64"/>
      <c r="G30" s="64"/>
      <c r="H30" s="64"/>
      <c r="I30" s="64"/>
      <c r="J30" s="64"/>
      <c r="K30" s="64"/>
      <c r="L30" s="64"/>
      <c r="M30" s="64"/>
      <c r="N30" s="62"/>
      <c r="O30" s="33"/>
    </row>
    <row r="31" spans="1:15" ht="12.75" customHeight="1">
      <c r="A31" s="77"/>
      <c r="B31" s="74"/>
      <c r="C31" s="74"/>
      <c r="D31" s="74"/>
      <c r="E31" s="74"/>
      <c r="F31" s="74"/>
      <c r="G31" s="74"/>
      <c r="H31" s="74"/>
      <c r="I31" s="74"/>
      <c r="J31" s="74"/>
      <c r="K31" s="74"/>
      <c r="L31" s="74"/>
      <c r="M31" s="74"/>
      <c r="N31" s="75"/>
      <c r="O31" s="33"/>
    </row>
    <row r="32" spans="1:15" ht="12.75" customHeight="1">
      <c r="A32" s="78"/>
      <c r="B32" s="79"/>
      <c r="C32" s="79"/>
      <c r="D32" s="79"/>
      <c r="E32" s="79"/>
      <c r="F32" s="79"/>
      <c r="G32" s="79"/>
      <c r="H32" s="79"/>
      <c r="I32" s="79"/>
      <c r="J32" s="79"/>
      <c r="K32" s="79"/>
      <c r="L32" s="79"/>
      <c r="M32" s="79"/>
      <c r="N32" s="80"/>
      <c r="O32" s="33"/>
    </row>
    <row r="33" spans="1:15" ht="12.75" customHeight="1">
      <c r="A33" s="81"/>
      <c r="B33" s="82"/>
      <c r="C33" s="82"/>
      <c r="D33" s="82"/>
      <c r="E33" s="82"/>
      <c r="F33" s="82"/>
      <c r="G33" s="82"/>
      <c r="H33" s="82"/>
      <c r="I33" s="82"/>
      <c r="J33" s="82"/>
      <c r="K33" s="82"/>
      <c r="L33" s="82"/>
      <c r="M33" s="82"/>
      <c r="N33" s="83"/>
      <c r="O33" s="33"/>
    </row>
    <row r="34" spans="1:15" ht="12.75" customHeight="1">
      <c r="A34" s="77"/>
      <c r="B34" s="74"/>
      <c r="C34" s="74"/>
      <c r="D34" s="74"/>
      <c r="E34" s="74"/>
      <c r="F34" s="74"/>
      <c r="G34" s="74"/>
      <c r="H34" s="74"/>
      <c r="I34" s="74"/>
      <c r="J34" s="74"/>
      <c r="K34" s="74"/>
      <c r="L34" s="74"/>
      <c r="M34" s="74"/>
      <c r="N34" s="75"/>
      <c r="O34" s="33"/>
    </row>
    <row r="35" spans="1:15" ht="12.75" customHeight="1">
      <c r="A35" s="77"/>
      <c r="B35" s="74"/>
      <c r="C35" s="74"/>
      <c r="D35" s="74"/>
      <c r="E35" s="74"/>
      <c r="F35" s="74"/>
      <c r="G35" s="74"/>
      <c r="H35" s="74"/>
      <c r="I35" s="74"/>
      <c r="J35" s="74"/>
      <c r="K35" s="74"/>
      <c r="L35" s="74"/>
      <c r="M35" s="74"/>
      <c r="N35" s="75"/>
      <c r="O35" s="33"/>
    </row>
    <row r="36" spans="1:15" ht="12.75" customHeight="1">
      <c r="A36" s="67"/>
      <c r="B36" s="64"/>
      <c r="C36" s="64"/>
      <c r="D36" s="64"/>
      <c r="E36" s="64"/>
      <c r="F36" s="64"/>
      <c r="G36" s="64"/>
      <c r="H36" s="64"/>
      <c r="I36" s="64"/>
      <c r="J36" s="64"/>
      <c r="K36" s="64"/>
      <c r="L36" s="64"/>
      <c r="M36" s="64"/>
      <c r="N36" s="62"/>
      <c r="O36" s="33"/>
    </row>
    <row r="37" spans="1:15" ht="12.75" customHeight="1">
      <c r="A37" s="67"/>
      <c r="B37" s="64"/>
      <c r="C37" s="64"/>
      <c r="D37" s="64"/>
      <c r="E37" s="64"/>
      <c r="F37" s="64"/>
      <c r="G37" s="64"/>
      <c r="H37" s="64"/>
      <c r="I37" s="64"/>
      <c r="J37" s="64"/>
      <c r="K37" s="64"/>
      <c r="L37" s="64"/>
      <c r="M37" s="64"/>
      <c r="N37" s="62"/>
      <c r="O37" s="33"/>
    </row>
    <row r="38" spans="1:15" ht="12.75" customHeight="1">
      <c r="A38" s="67"/>
      <c r="B38" s="64"/>
      <c r="C38" s="64"/>
      <c r="D38" s="64"/>
      <c r="E38" s="64"/>
      <c r="F38" s="64"/>
      <c r="G38" s="64"/>
      <c r="H38" s="64"/>
      <c r="I38" s="64"/>
      <c r="J38" s="64"/>
      <c r="K38" s="64"/>
      <c r="L38" s="64"/>
      <c r="M38" s="64"/>
      <c r="N38" s="62"/>
      <c r="O38" s="33"/>
    </row>
    <row r="39" spans="1:15" ht="12.75" customHeight="1">
      <c r="A39" s="67"/>
      <c r="B39" s="64"/>
      <c r="C39" s="64"/>
      <c r="D39" s="64"/>
      <c r="E39" s="74"/>
      <c r="F39" s="74"/>
      <c r="G39" s="74"/>
      <c r="H39" s="74"/>
      <c r="I39" s="74"/>
      <c r="J39" s="74"/>
      <c r="K39" s="74"/>
      <c r="L39" s="64"/>
      <c r="M39" s="64"/>
      <c r="N39" s="62"/>
      <c r="O39" s="33"/>
    </row>
    <row r="40" spans="1:15" ht="12.75" customHeight="1">
      <c r="A40" s="77"/>
      <c r="B40" s="74"/>
      <c r="C40" s="74"/>
      <c r="D40" s="74"/>
      <c r="E40" s="74"/>
      <c r="F40" s="74"/>
      <c r="G40" s="74"/>
      <c r="H40" s="74"/>
      <c r="I40" s="74"/>
      <c r="J40" s="74"/>
      <c r="K40" s="74"/>
      <c r="L40" s="64"/>
      <c r="M40" s="64"/>
      <c r="N40" s="75"/>
      <c r="O40" s="33"/>
    </row>
    <row r="41" spans="1:15" ht="12.75" customHeight="1">
      <c r="A41" s="77"/>
      <c r="B41" s="84"/>
      <c r="C41" s="84"/>
      <c r="D41" s="84"/>
      <c r="E41" s="85"/>
      <c r="F41" s="85"/>
      <c r="G41" s="85"/>
      <c r="H41" s="85"/>
      <c r="I41" s="85"/>
      <c r="J41" s="85"/>
      <c r="K41" s="85"/>
      <c r="L41" s="74"/>
      <c r="M41" s="74"/>
      <c r="N41" s="75"/>
      <c r="O41" s="33"/>
    </row>
    <row r="42" spans="1:15" ht="12.75" customHeight="1">
      <c r="A42" s="78"/>
      <c r="B42" s="84"/>
      <c r="C42" s="84"/>
      <c r="D42" s="84"/>
      <c r="E42" s="85"/>
      <c r="F42" s="85"/>
      <c r="G42" s="85"/>
      <c r="H42" s="85"/>
      <c r="I42" s="85"/>
      <c r="J42" s="85"/>
      <c r="K42" s="85"/>
      <c r="L42" s="79"/>
      <c r="M42" s="79"/>
      <c r="N42" s="80"/>
      <c r="O42" s="33"/>
    </row>
    <row r="43" spans="1:15" ht="12.75" customHeight="1">
      <c r="A43" s="81"/>
      <c r="B43" s="84"/>
      <c r="C43" s="84"/>
      <c r="D43" s="84"/>
      <c r="E43" s="85"/>
      <c r="F43" s="85"/>
      <c r="G43" s="85"/>
      <c r="H43" s="85"/>
      <c r="I43" s="85"/>
      <c r="J43" s="85"/>
      <c r="K43" s="85"/>
      <c r="L43" s="82"/>
      <c r="M43" s="82"/>
      <c r="N43" s="83"/>
      <c r="O43" s="33"/>
    </row>
    <row r="44" spans="1:15" ht="12.75" customHeight="1">
      <c r="A44" s="77"/>
      <c r="B44" s="84"/>
      <c r="C44" s="84"/>
      <c r="D44" s="84"/>
      <c r="E44" s="85"/>
      <c r="F44" s="85"/>
      <c r="G44" s="85"/>
      <c r="H44" s="85"/>
      <c r="I44" s="85"/>
      <c r="J44" s="85"/>
      <c r="K44" s="85"/>
      <c r="L44" s="74"/>
      <c r="M44" s="74"/>
      <c r="N44" s="75"/>
      <c r="O44" s="33"/>
    </row>
    <row r="45" spans="1:15" ht="12.75" customHeight="1">
      <c r="A45" s="77"/>
      <c r="B45" s="74"/>
      <c r="C45" s="74"/>
      <c r="D45" s="74"/>
      <c r="E45" s="74"/>
      <c r="F45" s="74"/>
      <c r="G45" s="74"/>
      <c r="H45" s="74"/>
      <c r="I45" s="74"/>
      <c r="J45" s="74"/>
      <c r="K45" s="74"/>
      <c r="L45" s="74"/>
      <c r="M45" s="74"/>
      <c r="N45" s="75"/>
      <c r="O45" s="33"/>
    </row>
    <row r="46" spans="1:15" ht="12.75" customHeight="1">
      <c r="A46" s="77"/>
      <c r="B46" s="74"/>
      <c r="C46" s="74"/>
      <c r="D46" s="74"/>
      <c r="E46" s="74"/>
      <c r="F46" s="74"/>
      <c r="G46" s="74"/>
      <c r="H46" s="74"/>
      <c r="I46" s="74"/>
      <c r="J46" s="74"/>
      <c r="K46" s="74"/>
      <c r="L46" s="74"/>
      <c r="M46" s="74"/>
      <c r="N46" s="75"/>
      <c r="O46" s="33"/>
    </row>
    <row r="47" spans="1:15" ht="12.75" customHeight="1">
      <c r="A47" s="67"/>
      <c r="B47" s="64"/>
      <c r="C47" s="64"/>
      <c r="D47" s="64"/>
      <c r="E47" s="64"/>
      <c r="F47" s="64"/>
      <c r="G47" s="64"/>
      <c r="H47" s="64"/>
      <c r="I47" s="64"/>
      <c r="J47" s="64"/>
      <c r="K47" s="64"/>
      <c r="L47" s="64"/>
      <c r="M47" s="64"/>
      <c r="N47" s="62"/>
      <c r="O47" s="33"/>
    </row>
    <row r="48" spans="1:15" ht="12.75" customHeight="1">
      <c r="A48" s="67"/>
      <c r="B48" s="64"/>
      <c r="C48" s="64"/>
      <c r="D48" s="64"/>
      <c r="E48" s="64"/>
      <c r="F48" s="64"/>
      <c r="G48" s="64"/>
      <c r="H48" s="64"/>
      <c r="I48" s="64"/>
      <c r="J48" s="64"/>
      <c r="K48" s="64"/>
      <c r="L48" s="64"/>
      <c r="M48" s="64"/>
      <c r="N48" s="62"/>
      <c r="O48" s="33"/>
    </row>
    <row r="49" spans="1:15" ht="12.75" customHeight="1">
      <c r="A49" s="67"/>
      <c r="B49" s="64"/>
      <c r="C49" s="64"/>
      <c r="D49" s="64"/>
      <c r="E49" s="64"/>
      <c r="F49" s="64"/>
      <c r="G49" s="64"/>
      <c r="H49" s="64"/>
      <c r="I49" s="64"/>
      <c r="J49" s="64"/>
      <c r="K49" s="64"/>
      <c r="L49" s="64"/>
      <c r="M49" s="64"/>
      <c r="N49" s="62"/>
      <c r="O49" s="33"/>
    </row>
    <row r="50" spans="1:15" ht="12.75" customHeight="1">
      <c r="A50" s="67"/>
      <c r="B50" s="64"/>
      <c r="C50" s="64"/>
      <c r="D50" s="64"/>
      <c r="E50" s="64"/>
      <c r="F50" s="64"/>
      <c r="G50" s="64"/>
      <c r="H50" s="64"/>
      <c r="I50" s="64"/>
      <c r="J50" s="64"/>
      <c r="K50" s="64"/>
      <c r="L50" s="64"/>
      <c r="M50" s="64"/>
      <c r="N50" s="62"/>
      <c r="O50" s="33"/>
    </row>
    <row r="51" spans="1:15" ht="12.75" customHeight="1">
      <c r="A51" s="67"/>
      <c r="B51" s="64"/>
      <c r="C51" s="64"/>
      <c r="D51" s="64"/>
      <c r="E51" s="64"/>
      <c r="F51" s="64"/>
      <c r="G51" s="64"/>
      <c r="H51" s="64"/>
      <c r="I51" s="64"/>
      <c r="J51" s="64"/>
      <c r="K51" s="64"/>
      <c r="L51" s="64"/>
      <c r="M51" s="64"/>
      <c r="N51" s="62"/>
      <c r="O51" s="33"/>
    </row>
    <row r="52" spans="1:15" ht="12.75" customHeight="1">
      <c r="A52" s="67"/>
      <c r="B52" s="64"/>
      <c r="C52" s="64"/>
      <c r="D52" s="64"/>
      <c r="E52" s="64"/>
      <c r="F52" s="64"/>
      <c r="G52" s="64"/>
      <c r="H52" s="74"/>
      <c r="I52" s="74"/>
      <c r="J52" s="74"/>
      <c r="K52" s="64"/>
      <c r="L52" s="64"/>
      <c r="M52" s="64"/>
      <c r="N52" s="62"/>
      <c r="O52" s="33"/>
    </row>
    <row r="53" spans="1:15" ht="12.75" customHeight="1">
      <c r="A53" s="77"/>
      <c r="B53" s="74"/>
      <c r="C53" s="64"/>
      <c r="D53" s="74"/>
      <c r="E53" s="74"/>
      <c r="F53" s="74"/>
      <c r="G53" s="74"/>
      <c r="H53" s="74"/>
      <c r="I53" s="74"/>
      <c r="J53" s="74"/>
      <c r="K53" s="74"/>
      <c r="L53" s="74"/>
      <c r="M53" s="85"/>
      <c r="N53" s="86"/>
      <c r="O53" s="33"/>
    </row>
    <row r="54" spans="1:15" ht="12.75" customHeight="1">
      <c r="A54" s="77"/>
      <c r="B54" s="74"/>
      <c r="C54" s="64"/>
      <c r="D54" s="74"/>
      <c r="E54" s="74"/>
      <c r="F54" s="74"/>
      <c r="G54" s="74"/>
      <c r="H54" s="64"/>
      <c r="I54" s="64"/>
      <c r="J54" s="64"/>
      <c r="K54" s="74"/>
      <c r="L54" s="74"/>
      <c r="M54" s="87"/>
      <c r="N54" s="88"/>
      <c r="O54" s="33"/>
    </row>
    <row r="55" spans="1:15" ht="12.75" customHeight="1">
      <c r="A55" s="68"/>
      <c r="B55" s="69"/>
      <c r="C55" s="89"/>
      <c r="D55" s="90"/>
      <c r="E55" s="90"/>
      <c r="F55" s="90"/>
      <c r="G55" s="90"/>
      <c r="H55" s="89"/>
      <c r="I55" s="89"/>
      <c r="J55" s="89"/>
      <c r="K55" s="69"/>
      <c r="L55" s="69"/>
      <c r="M55" s="69"/>
      <c r="N55" s="70"/>
      <c r="O55" s="33"/>
    </row>
    <row r="56" spans="1:15" ht="12.75" customHeight="1">
      <c r="A56" s="68"/>
      <c r="B56" s="69"/>
      <c r="C56" s="89"/>
      <c r="D56" s="74"/>
      <c r="E56" s="74"/>
      <c r="F56" s="74"/>
      <c r="G56" s="74"/>
      <c r="H56" s="74"/>
      <c r="I56" s="74"/>
      <c r="J56" s="74"/>
      <c r="K56" s="69"/>
      <c r="L56" s="69"/>
      <c r="M56" s="74"/>
      <c r="N56" s="75"/>
      <c r="O56" s="33"/>
    </row>
    <row r="57" spans="1:15" ht="12.75" customHeight="1">
      <c r="A57" s="68"/>
      <c r="B57" s="69"/>
      <c r="C57" s="89"/>
      <c r="D57" s="74"/>
      <c r="E57" s="74"/>
      <c r="F57" s="74"/>
      <c r="G57" s="74"/>
      <c r="H57" s="74"/>
      <c r="I57" s="74"/>
      <c r="J57" s="74"/>
      <c r="K57" s="69"/>
      <c r="L57" s="69"/>
      <c r="M57" s="74"/>
      <c r="N57" s="75"/>
      <c r="O57" s="33"/>
    </row>
    <row r="58" spans="1:15" ht="12.75" customHeight="1">
      <c r="A58" s="68"/>
      <c r="B58" s="69"/>
      <c r="C58" s="89"/>
      <c r="D58" s="74"/>
      <c r="E58" s="74"/>
      <c r="F58" s="74"/>
      <c r="G58" s="74"/>
      <c r="H58" s="74"/>
      <c r="I58" s="74"/>
      <c r="J58" s="74"/>
      <c r="K58" s="69"/>
      <c r="L58" s="69"/>
      <c r="M58" s="74"/>
      <c r="N58" s="75"/>
      <c r="O58" s="33"/>
    </row>
    <row r="59" spans="1:15" ht="12.75" customHeight="1">
      <c r="A59" s="68"/>
      <c r="B59" s="69"/>
      <c r="C59" s="89"/>
      <c r="D59" s="74"/>
      <c r="E59" s="74"/>
      <c r="F59" s="74"/>
      <c r="G59" s="74"/>
      <c r="H59" s="74"/>
      <c r="I59" s="74"/>
      <c r="J59" s="74"/>
      <c r="K59" s="69"/>
      <c r="L59" s="69"/>
      <c r="M59" s="74"/>
      <c r="N59" s="75"/>
      <c r="O59" s="33"/>
    </row>
    <row r="60" spans="1:15">
      <c r="A60" s="91"/>
      <c r="N60" s="92"/>
    </row>
    <row r="61" spans="1:15">
      <c r="A61" s="91"/>
      <c r="N61" s="92"/>
    </row>
    <row r="62" spans="1:15">
      <c r="A62" s="91"/>
      <c r="N62" s="92"/>
    </row>
    <row r="63" spans="1:15">
      <c r="A63" s="91"/>
      <c r="N63" s="92"/>
    </row>
    <row r="64" spans="1:15">
      <c r="A64" s="91"/>
      <c r="N64" s="92"/>
    </row>
    <row r="65" spans="1:14">
      <c r="A65" s="91"/>
      <c r="N65" s="92"/>
    </row>
    <row r="66" spans="1:14">
      <c r="A66" s="91"/>
      <c r="N66" s="92"/>
    </row>
    <row r="67" spans="1:14">
      <c r="A67" s="91"/>
      <c r="N67" s="92"/>
    </row>
    <row r="68" spans="1:14">
      <c r="A68" s="91"/>
      <c r="N68" s="92"/>
    </row>
    <row r="69" spans="1:14">
      <c r="A69" s="91"/>
      <c r="N69" s="92"/>
    </row>
    <row r="70" spans="1:14">
      <c r="A70" s="91"/>
      <c r="N70" s="92"/>
    </row>
    <row r="71" spans="1:14">
      <c r="A71" s="91"/>
      <c r="N71" s="92"/>
    </row>
    <row r="72" spans="1:14">
      <c r="A72" s="91"/>
      <c r="N72" s="92"/>
    </row>
    <row r="73" spans="1:14">
      <c r="A73" s="93"/>
      <c r="B73" s="94"/>
      <c r="C73" s="94"/>
      <c r="D73" s="94"/>
      <c r="E73" s="94"/>
      <c r="F73" s="94"/>
      <c r="G73" s="94"/>
      <c r="H73" s="94"/>
      <c r="I73" s="94"/>
      <c r="J73" s="94"/>
      <c r="K73" s="94"/>
      <c r="L73" s="94"/>
      <c r="M73" s="94"/>
      <c r="N73" s="95"/>
    </row>
    <row r="187" spans="7:7">
      <c r="G187" s="34" t="s">
        <v>57</v>
      </c>
    </row>
    <row r="249" ht="19.5" customHeight="1"/>
    <row r="267" spans="15:16">
      <c r="O267" s="96">
        <v>0.91759999999999997</v>
      </c>
      <c r="P267" s="96">
        <v>0.84940000000000004</v>
      </c>
    </row>
    <row r="268" spans="15:16">
      <c r="P268" s="97">
        <v>1</v>
      </c>
    </row>
    <row r="274" spans="15:16">
      <c r="O274" s="96">
        <v>0.91210000000000002</v>
      </c>
      <c r="P274" s="96">
        <v>0.89339999999999997</v>
      </c>
    </row>
    <row r="275" spans="15:16">
      <c r="P275" s="96">
        <v>0.68500000000000005</v>
      </c>
    </row>
    <row r="374" hidden="1"/>
    <row r="375" hidden="1"/>
    <row r="376" hidden="1"/>
    <row r="377" hidden="1"/>
    <row r="378" hidden="1"/>
    <row r="379" hidden="1"/>
    <row r="380" hidden="1"/>
    <row r="381" hidden="1"/>
    <row r="382" hidden="1"/>
    <row r="383" hidden="1"/>
    <row r="384" hidden="1"/>
    <row r="385" hidden="1"/>
    <row r="386" hidden="1"/>
    <row r="387" hidden="1"/>
  </sheetData>
  <mergeCells count="10">
    <mergeCell ref="L7:N7"/>
    <mergeCell ref="A9:N9"/>
    <mergeCell ref="A1:D1"/>
    <mergeCell ref="E1:N2"/>
    <mergeCell ref="A2:D2"/>
    <mergeCell ref="A3:D3"/>
    <mergeCell ref="A4:D4"/>
    <mergeCell ref="A5:D5"/>
    <mergeCell ref="K5:N6"/>
    <mergeCell ref="A6:D6"/>
  </mergeCells>
  <pageMargins left="0.7" right="0.7" top="0.75" bottom="0.75" header="0.3" footer="0.3"/>
  <pageSetup paperSize="9" scale="4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AZ367"/>
  <sheetViews>
    <sheetView tabSelected="1" view="pageBreakPreview" topLeftCell="A19" zoomScale="69" zoomScaleNormal="70" zoomScaleSheetLayoutView="50" workbookViewId="0">
      <selection activeCell="AC33" sqref="AC33"/>
    </sheetView>
  </sheetViews>
  <sheetFormatPr baseColWidth="10" defaultColWidth="9.1640625" defaultRowHeight="13"/>
  <cols>
    <col min="1" max="1" width="5.5" style="34" customWidth="1"/>
    <col min="2" max="2" width="9.83203125" style="34" customWidth="1"/>
    <col min="3" max="3" width="21.5" style="34" customWidth="1"/>
    <col min="4" max="4" width="13.83203125" style="34" customWidth="1"/>
    <col min="5" max="5" width="10.83203125" style="34" customWidth="1"/>
    <col min="6" max="6" width="10.83203125" style="34" hidden="1" customWidth="1"/>
    <col min="7" max="8" width="10.83203125" style="34" customWidth="1"/>
    <col min="9" max="9" width="10.83203125" style="34" hidden="1" customWidth="1"/>
    <col min="10" max="10" width="10.83203125" style="34" customWidth="1"/>
    <col min="11" max="11" width="10.83203125" style="34" hidden="1" customWidth="1"/>
    <col min="12" max="13" width="10.83203125" style="34" customWidth="1"/>
    <col min="14" max="14" width="10.83203125" style="34" hidden="1" customWidth="1"/>
    <col min="15" max="15" width="10.83203125" style="34" customWidth="1"/>
    <col min="16" max="16" width="10.83203125" style="34" hidden="1" customWidth="1"/>
    <col min="17" max="18" width="10.83203125" style="34" customWidth="1"/>
    <col min="19" max="19" width="10.83203125" style="34" hidden="1" customWidth="1"/>
    <col min="20" max="20" width="17.5" style="34" customWidth="1"/>
    <col min="21" max="24" width="9.1640625" style="34"/>
    <col min="25" max="25" width="12" style="34" customWidth="1"/>
    <col min="26" max="26" width="3.6640625" style="34" customWidth="1"/>
    <col min="27" max="27" width="11.5" style="34" bestFit="1" customWidth="1"/>
    <col min="28" max="40" width="9.1640625" style="34"/>
    <col min="41" max="41" width="11.33203125" style="34" customWidth="1"/>
    <col min="42" max="42" width="11.1640625" style="34" customWidth="1"/>
    <col min="43" max="16384" width="9.1640625" style="34"/>
  </cols>
  <sheetData>
    <row r="1" spans="1:52" ht="20.25" customHeight="1">
      <c r="A1" s="901"/>
      <c r="B1" s="902"/>
      <c r="C1" s="902"/>
      <c r="D1" s="903"/>
      <c r="E1" s="904" t="str">
        <f>TOC!E1</f>
        <v>PERTAMINA EP</v>
      </c>
      <c r="F1" s="905"/>
      <c r="G1" s="905"/>
      <c r="H1" s="905"/>
      <c r="I1" s="905"/>
      <c r="J1" s="905"/>
      <c r="K1" s="905"/>
      <c r="L1" s="905"/>
      <c r="M1" s="905"/>
      <c r="N1" s="905"/>
      <c r="O1" s="905"/>
      <c r="P1" s="905"/>
      <c r="Q1" s="905"/>
      <c r="R1" s="905"/>
      <c r="S1" s="905"/>
      <c r="T1" s="906"/>
      <c r="U1" s="33"/>
    </row>
    <row r="2" spans="1:52" ht="20.25" customHeight="1">
      <c r="A2" s="910"/>
      <c r="B2" s="911"/>
      <c r="C2" s="911"/>
      <c r="D2" s="912"/>
      <c r="E2" s="907"/>
      <c r="F2" s="908"/>
      <c r="G2" s="908"/>
      <c r="H2" s="908"/>
      <c r="I2" s="908"/>
      <c r="J2" s="908"/>
      <c r="K2" s="908"/>
      <c r="L2" s="908"/>
      <c r="M2" s="908"/>
      <c r="N2" s="908"/>
      <c r="O2" s="908"/>
      <c r="P2" s="908"/>
      <c r="Q2" s="908"/>
      <c r="R2" s="908"/>
      <c r="S2" s="908"/>
      <c r="T2" s="909"/>
      <c r="U2" s="35"/>
    </row>
    <row r="3" spans="1:52" ht="20.25" customHeight="1">
      <c r="A3" s="913"/>
      <c r="B3" s="914"/>
      <c r="C3" s="914"/>
      <c r="D3" s="915"/>
      <c r="E3" s="36" t="s">
        <v>48</v>
      </c>
      <c r="F3" s="464"/>
      <c r="G3" s="37"/>
      <c r="H3" s="37"/>
      <c r="I3" s="37"/>
      <c r="J3" s="37"/>
      <c r="K3" s="37"/>
      <c r="L3" s="37"/>
      <c r="M3" s="37"/>
      <c r="N3" s="37"/>
      <c r="O3" s="38" t="s">
        <v>49</v>
      </c>
      <c r="P3" s="45"/>
      <c r="Q3" s="37"/>
      <c r="R3" s="37"/>
      <c r="S3" s="37"/>
      <c r="T3" s="39"/>
      <c r="U3" s="35"/>
      <c r="Y3" s="34" t="s">
        <v>246</v>
      </c>
      <c r="Z3" s="34" t="s">
        <v>29</v>
      </c>
      <c r="AA3" s="34">
        <f>'Cover Report'!Z3</f>
        <v>12</v>
      </c>
      <c r="AL3" s="34" t="s">
        <v>298</v>
      </c>
      <c r="AQ3" s="34" t="s">
        <v>30</v>
      </c>
      <c r="AV3" s="34" t="s">
        <v>299</v>
      </c>
    </row>
    <row r="4" spans="1:52" s="44" customFormat="1" ht="13.5" customHeight="1">
      <c r="A4" s="916"/>
      <c r="B4" s="917"/>
      <c r="C4" s="917"/>
      <c r="D4" s="918"/>
      <c r="E4" s="40" t="str">
        <f>TOC!E4</f>
        <v>Integrated Management Dashboard Production &amp; Project Zona 13</v>
      </c>
      <c r="F4" s="455"/>
      <c r="G4" s="41"/>
      <c r="H4" s="41"/>
      <c r="I4" s="41"/>
      <c r="J4" s="41"/>
      <c r="K4" s="41"/>
      <c r="L4" s="41"/>
      <c r="M4" s="41"/>
      <c r="N4" s="41"/>
      <c r="O4" s="40" t="str">
        <f>'Cover Report'!Z5</f>
        <v>W2026I-DNGF-EM-100-PRG-WLY-0012</v>
      </c>
      <c r="P4" s="455"/>
      <c r="Q4" s="41"/>
      <c r="R4" s="41"/>
      <c r="S4" s="41"/>
      <c r="T4" s="42"/>
      <c r="U4" s="43"/>
      <c r="Y4" s="787" t="s">
        <v>244</v>
      </c>
      <c r="Z4" s="115" t="s">
        <v>29</v>
      </c>
      <c r="AA4" s="44" t="str">
        <f>'Cover Report'!Z1</f>
        <v>Integrated Management Dashboard Production &amp; Project Zona 13</v>
      </c>
      <c r="AK4" s="832"/>
      <c r="AL4" s="386" t="s">
        <v>75</v>
      </c>
      <c r="AM4" s="466" t="s">
        <v>147</v>
      </c>
      <c r="AN4" s="387" t="s">
        <v>25</v>
      </c>
      <c r="AO4" s="387" t="s">
        <v>59</v>
      </c>
      <c r="AP4" s="466" t="s">
        <v>149</v>
      </c>
      <c r="AQ4" s="386" t="s">
        <v>75</v>
      </c>
      <c r="AR4" s="466" t="s">
        <v>147</v>
      </c>
      <c r="AS4" s="387" t="s">
        <v>25</v>
      </c>
      <c r="AT4" s="387" t="s">
        <v>59</v>
      </c>
      <c r="AU4" s="466" t="s">
        <v>149</v>
      </c>
      <c r="AV4" s="386" t="s">
        <v>75</v>
      </c>
      <c r="AW4" s="466" t="s">
        <v>147</v>
      </c>
      <c r="AX4" s="387" t="s">
        <v>25</v>
      </c>
      <c r="AY4" s="387" t="s">
        <v>59</v>
      </c>
      <c r="AZ4" s="466" t="s">
        <v>149</v>
      </c>
    </row>
    <row r="5" spans="1:52" ht="20.25" customHeight="1">
      <c r="A5" s="910"/>
      <c r="B5" s="910"/>
      <c r="C5" s="911"/>
      <c r="D5" s="912"/>
      <c r="E5" s="38" t="s">
        <v>50</v>
      </c>
      <c r="F5" s="45"/>
      <c r="G5" s="45"/>
      <c r="H5" s="45"/>
      <c r="I5" s="45"/>
      <c r="J5" s="45"/>
      <c r="K5" s="45"/>
      <c r="L5" s="45"/>
      <c r="M5" s="46"/>
      <c r="N5" s="45"/>
      <c r="O5" s="919" t="s">
        <v>66</v>
      </c>
      <c r="P5" s="920"/>
      <c r="Q5" s="920"/>
      <c r="R5" s="920"/>
      <c r="S5" s="920"/>
      <c r="T5" s="921"/>
      <c r="U5" s="35"/>
      <c r="Y5" s="788" t="s">
        <v>100</v>
      </c>
      <c r="Z5" s="115" t="s">
        <v>29</v>
      </c>
      <c r="AA5" s="789">
        <f>'Cover Report'!Z8</f>
        <v>46202</v>
      </c>
      <c r="AK5" s="833">
        <v>1</v>
      </c>
      <c r="AL5" s="834" cm="1">
        <f t="array" ref="AL5">_xlfn._xlws.FILTER('Overall MDR_'!BM50:CH50,'Overall MDR_'!BM$11:CH$11=('Exe Sum'!$AA$3-1))</f>
        <v>1</v>
      </c>
      <c r="AM5" s="834" cm="1">
        <f t="array" ref="AM5">_xlfn._xlws.FILTER('Overall MDR_'!CL50:DG50,'Overall MDR_'!CL$11:DG$11=('Exe Sum'!$AA$3-1))</f>
        <v>0</v>
      </c>
      <c r="AN5" s="834" cm="1">
        <f t="array" ref="AN5">_xlfn._xlws.FILTER('Overall MDR_'!DL50:EG50,'Overall MDR_'!DL$11:EG$11=('Exe Sum'!$AA$3-1))</f>
        <v>1</v>
      </c>
      <c r="AO5" s="834">
        <f>AN5-AL5</f>
        <v>0</v>
      </c>
      <c r="AP5" s="834">
        <f>AN5-AM5</f>
        <v>1</v>
      </c>
      <c r="AQ5" s="834">
        <f>AV5-AL5</f>
        <v>0</v>
      </c>
      <c r="AR5" s="834">
        <f>AW5-AM5</f>
        <v>0</v>
      </c>
      <c r="AS5" s="834">
        <f>AX5-AN5</f>
        <v>0</v>
      </c>
      <c r="AT5" s="834">
        <f>AS5-AQ5</f>
        <v>0</v>
      </c>
      <c r="AU5" s="834">
        <f>AS5-AR5</f>
        <v>0</v>
      </c>
      <c r="AV5" s="834" cm="1">
        <f t="array" ref="AV5">_xlfn._xlws.FILTER('Overall MDR_'!BM50:CH50,'Overall MDR_'!BM$11:CH$11=('Exe Sum'!$AA$3))</f>
        <v>1</v>
      </c>
      <c r="AW5" s="834" cm="1">
        <f t="array" ref="AW5">_xlfn._xlws.FILTER('Overall MDR_'!CL50:DG50,'Overall MDR_'!CL$11:DG$11=('Exe Sum'!$AA$3))</f>
        <v>0</v>
      </c>
      <c r="AX5" s="834" cm="1">
        <f t="array" ref="AX5">_xlfn._xlws.FILTER('Overall MDR_'!DL50:EG50,'Overall MDR_'!DL$11:EG$11=('Exe Sum'!$AA$3))</f>
        <v>1</v>
      </c>
      <c r="AY5" s="834">
        <f>AX5-AV5</f>
        <v>0</v>
      </c>
      <c r="AZ5" s="834">
        <f>AX5-AW5</f>
        <v>1</v>
      </c>
    </row>
    <row r="6" spans="1:52" ht="14.25" customHeight="1">
      <c r="A6" s="925"/>
      <c r="B6" s="925"/>
      <c r="C6" s="926"/>
      <c r="D6" s="927"/>
      <c r="E6" s="40" t="str">
        <f>TOC!E6</f>
        <v xml:space="preserve">Weekly Report </v>
      </c>
      <c r="F6" s="455"/>
      <c r="G6" s="47"/>
      <c r="H6" s="47"/>
      <c r="I6" s="47"/>
      <c r="J6" s="47"/>
      <c r="K6" s="47"/>
      <c r="L6" s="47"/>
      <c r="M6" s="48"/>
      <c r="N6" s="47"/>
      <c r="O6" s="922"/>
      <c r="P6" s="923"/>
      <c r="Q6" s="923"/>
      <c r="R6" s="923"/>
      <c r="S6" s="923"/>
      <c r="T6" s="924"/>
      <c r="U6" s="35"/>
      <c r="Y6" s="788" t="s">
        <v>101</v>
      </c>
      <c r="Z6" s="115" t="s">
        <v>29</v>
      </c>
      <c r="AA6" s="789">
        <f>'Cover Report'!Z9</f>
        <v>46208</v>
      </c>
      <c r="AK6" s="833">
        <v>2</v>
      </c>
      <c r="AL6" s="834" cm="1">
        <f t="array" ref="AL6">_xlfn._xlws.FILTER('Overall MDR_'!BM51:CH51,'Overall MDR_'!BM$11:CH$11=('Exe Sum'!$AA$3-1))</f>
        <v>1</v>
      </c>
      <c r="AM6" s="834" cm="1">
        <f t="array" ref="AM6">_xlfn._xlws.FILTER('Overall MDR_'!CL51:DG51,'Overall MDR_'!CL$11:DG$11=('Exe Sum'!$AA$3-1))</f>
        <v>0</v>
      </c>
      <c r="AN6" s="834" cm="1">
        <f t="array" ref="AN6">_xlfn._xlws.FILTER('Overall MDR_'!DL51:EG51,'Overall MDR_'!DL$11:EG$11=('Exe Sum'!$AA$3-1))</f>
        <v>0</v>
      </c>
      <c r="AO6" s="834">
        <f t="shared" ref="AO6:AO10" si="0">AN6-AL6</f>
        <v>-1</v>
      </c>
      <c r="AP6" s="834">
        <f t="shared" ref="AP6:AP10" si="1">AN6-AM6</f>
        <v>0</v>
      </c>
      <c r="AQ6" s="834">
        <f t="shared" ref="AQ6:AQ9" si="2">AV6-AL6</f>
        <v>0</v>
      </c>
      <c r="AR6" s="834">
        <f t="shared" ref="AR6:AR10" si="3">AW6-AM6</f>
        <v>0</v>
      </c>
      <c r="AS6" s="834">
        <f t="shared" ref="AS6:AS10" si="4">AX6-AN6</f>
        <v>0</v>
      </c>
      <c r="AT6" s="834">
        <f t="shared" ref="AT6:AT10" si="5">AS6-AQ6</f>
        <v>0</v>
      </c>
      <c r="AU6" s="834">
        <f t="shared" ref="AU6:AU10" si="6">AS6-AR6</f>
        <v>0</v>
      </c>
      <c r="AV6" s="834" cm="1">
        <f t="array" ref="AV6">_xlfn._xlws.FILTER('Overall MDR_'!BM51:CH51,'Overall MDR_'!BM$11:CH$11=('Exe Sum'!$AA$3))</f>
        <v>1</v>
      </c>
      <c r="AW6" s="834" cm="1">
        <f t="array" ref="AW6">_xlfn._xlws.FILTER('Overall MDR_'!CL51:DG51,'Overall MDR_'!CL$11:DG$11=('Exe Sum'!$AA$3))</f>
        <v>0</v>
      </c>
      <c r="AX6" s="834" cm="1">
        <f t="array" ref="AX6">_xlfn._xlws.FILTER('Overall MDR_'!DL51:EG51,'Overall MDR_'!DL$11:EG$11=('Exe Sum'!$AA$3))</f>
        <v>0</v>
      </c>
      <c r="AY6" s="834">
        <f t="shared" ref="AY6:AY10" si="7">AX6-AV6</f>
        <v>-1</v>
      </c>
      <c r="AZ6" s="834">
        <f t="shared" ref="AZ6:AZ10" si="8">AX6-AW6</f>
        <v>0</v>
      </c>
    </row>
    <row r="7" spans="1:52" ht="13" customHeight="1">
      <c r="A7" s="49"/>
      <c r="B7" s="50"/>
      <c r="C7" s="50"/>
      <c r="D7" s="50"/>
      <c r="E7" s="51"/>
      <c r="F7" s="51"/>
      <c r="G7" s="51"/>
      <c r="H7" s="51"/>
      <c r="I7" s="51"/>
      <c r="J7" s="51"/>
      <c r="K7" s="51"/>
      <c r="L7" s="51"/>
      <c r="M7" s="51"/>
      <c r="N7" s="51"/>
      <c r="O7" s="51"/>
      <c r="P7" s="51"/>
      <c r="Q7" s="896"/>
      <c r="R7" s="896"/>
      <c r="S7" s="896"/>
      <c r="T7" s="897"/>
      <c r="U7" s="35"/>
      <c r="Y7" s="788" t="s">
        <v>241</v>
      </c>
      <c r="Z7" s="115" t="s">
        <v>29</v>
      </c>
      <c r="AA7" s="96">
        <f>O29</f>
        <v>0.85975000000000001</v>
      </c>
      <c r="AK7" s="833">
        <v>3</v>
      </c>
      <c r="AL7" s="834" cm="1">
        <f t="array" ref="AL7">_xlfn._xlws.FILTER('Overall MDR_'!BM52:CH52,'Overall MDR_'!BM$11:CH$11=('Exe Sum'!$AA$3-1))</f>
        <v>0.97475476053087118</v>
      </c>
      <c r="AM7" s="834" cm="1">
        <f t="array" ref="AM7">_xlfn._xlws.FILTER('Overall MDR_'!CL52:DG52,'Overall MDR_'!CL$11:DG$11=('Exe Sum'!$AA$3-1))</f>
        <v>0</v>
      </c>
      <c r="AN7" s="834" cm="1">
        <f t="array" ref="AN7">_xlfn._xlws.FILTER('Overall MDR_'!DL52:EG52,'Overall MDR_'!DL$11:EG$11=('Exe Sum'!$AA$3-1))</f>
        <v>1</v>
      </c>
      <c r="AO7" s="834">
        <f t="shared" si="0"/>
        <v>2.5245239469128822E-2</v>
      </c>
      <c r="AP7" s="834">
        <f t="shared" si="1"/>
        <v>1</v>
      </c>
      <c r="AQ7" s="834">
        <f t="shared" si="2"/>
        <v>2.5245239469128822E-2</v>
      </c>
      <c r="AR7" s="834">
        <f t="shared" si="3"/>
        <v>0</v>
      </c>
      <c r="AS7" s="834">
        <f t="shared" si="4"/>
        <v>0</v>
      </c>
      <c r="AT7" s="834">
        <f t="shared" si="5"/>
        <v>-2.5245239469128822E-2</v>
      </c>
      <c r="AU7" s="834">
        <f t="shared" si="6"/>
        <v>0</v>
      </c>
      <c r="AV7" s="834" cm="1">
        <f t="array" ref="AV7">_xlfn._xlws.FILTER('Overall MDR_'!BM52:CH52,'Overall MDR_'!BM$11:CH$11=('Exe Sum'!$AA$3))</f>
        <v>1</v>
      </c>
      <c r="AW7" s="834" cm="1">
        <f t="array" ref="AW7">_xlfn._xlws.FILTER('Overall MDR_'!CL52:DG52,'Overall MDR_'!CL$11:DG$11=('Exe Sum'!$AA$3))</f>
        <v>0</v>
      </c>
      <c r="AX7" s="834" cm="1">
        <f t="array" ref="AX7">_xlfn._xlws.FILTER('Overall MDR_'!DL52:EG52,'Overall MDR_'!DL$11:EG$11=('Exe Sum'!$AA$3))</f>
        <v>1</v>
      </c>
      <c r="AY7" s="834">
        <f t="shared" si="7"/>
        <v>0</v>
      </c>
      <c r="AZ7" s="834">
        <f t="shared" si="8"/>
        <v>1</v>
      </c>
    </row>
    <row r="8" spans="1:52" ht="20.25" customHeight="1">
      <c r="A8" s="241"/>
      <c r="B8" s="242"/>
      <c r="C8" s="242"/>
      <c r="D8" s="242"/>
      <c r="E8" s="242"/>
      <c r="F8" s="242"/>
      <c r="G8" s="242"/>
      <c r="H8" s="242"/>
      <c r="I8" s="242"/>
      <c r="J8" s="242"/>
      <c r="K8" s="242"/>
      <c r="L8" s="242"/>
      <c r="M8" s="242"/>
      <c r="N8" s="242"/>
      <c r="O8" s="242"/>
      <c r="P8" s="242"/>
      <c r="Q8" s="242"/>
      <c r="R8" s="242"/>
      <c r="S8" s="242"/>
      <c r="T8" s="243"/>
      <c r="U8" s="33"/>
      <c r="Y8" s="788" t="s">
        <v>242</v>
      </c>
      <c r="Z8" s="115" t="s">
        <v>29</v>
      </c>
      <c r="AA8" s="96">
        <f>Q29</f>
        <v>0.86670000000000003</v>
      </c>
      <c r="AK8" s="833">
        <v>4</v>
      </c>
      <c r="AL8" s="834" cm="1">
        <f t="array" ref="AL8">_xlfn._xlws.FILTER('Overall MDR_'!BM53:CH53,'Overall MDR_'!BM$11:CH$11=('Exe Sum'!$AA$3-1))</f>
        <v>1</v>
      </c>
      <c r="AM8" s="834" cm="1">
        <f t="array" ref="AM8">_xlfn._xlws.FILTER('Overall MDR_'!CL53:DG53,'Overall MDR_'!CL$11:DG$11=('Exe Sum'!$AA$3-1))</f>
        <v>0</v>
      </c>
      <c r="AN8" s="834" cm="1">
        <f t="array" ref="AN8">_xlfn._xlws.FILTER('Overall MDR_'!DL53:EG53,'Overall MDR_'!DL$11:EG$11=('Exe Sum'!$AA$3-1))</f>
        <v>1</v>
      </c>
      <c r="AO8" s="834">
        <f t="shared" si="0"/>
        <v>0</v>
      </c>
      <c r="AP8" s="834">
        <f t="shared" si="1"/>
        <v>1</v>
      </c>
      <c r="AQ8" s="834">
        <f t="shared" si="2"/>
        <v>0</v>
      </c>
      <c r="AR8" s="834">
        <f t="shared" si="3"/>
        <v>0</v>
      </c>
      <c r="AS8" s="834">
        <f t="shared" si="4"/>
        <v>0</v>
      </c>
      <c r="AT8" s="834">
        <f t="shared" si="5"/>
        <v>0</v>
      </c>
      <c r="AU8" s="834">
        <f t="shared" si="6"/>
        <v>0</v>
      </c>
      <c r="AV8" s="834" cm="1">
        <f t="array" ref="AV8">_xlfn._xlws.FILTER('Overall MDR_'!BM53:CH53,'Overall MDR_'!BM$11:CH$11=('Exe Sum'!$AA$3))</f>
        <v>1</v>
      </c>
      <c r="AW8" s="834" cm="1">
        <f t="array" ref="AW8">_xlfn._xlws.FILTER('Overall MDR_'!CL53:DG53,'Overall MDR_'!CL$11:DG$11=('Exe Sum'!$AA$3))</f>
        <v>0</v>
      </c>
      <c r="AX8" s="834" cm="1">
        <f t="array" ref="AX8">_xlfn._xlws.FILTER('Overall MDR_'!DL53:EG53,'Overall MDR_'!DL$11:EG$11=('Exe Sum'!$AA$3))</f>
        <v>1</v>
      </c>
      <c r="AY8" s="834">
        <f t="shared" si="7"/>
        <v>0</v>
      </c>
      <c r="AZ8" s="834">
        <f t="shared" si="8"/>
        <v>1</v>
      </c>
    </row>
    <row r="9" spans="1:52" ht="18.75" customHeight="1">
      <c r="A9" s="898" t="s">
        <v>56</v>
      </c>
      <c r="B9" s="899"/>
      <c r="C9" s="899"/>
      <c r="D9" s="899"/>
      <c r="E9" s="899"/>
      <c r="F9" s="899"/>
      <c r="G9" s="899"/>
      <c r="H9" s="899"/>
      <c r="I9" s="899"/>
      <c r="J9" s="899"/>
      <c r="K9" s="899"/>
      <c r="L9" s="899"/>
      <c r="M9" s="899"/>
      <c r="N9" s="899"/>
      <c r="O9" s="899"/>
      <c r="P9" s="899"/>
      <c r="Q9" s="899"/>
      <c r="R9" s="899"/>
      <c r="S9" s="899"/>
      <c r="T9" s="900"/>
      <c r="U9" s="33"/>
      <c r="Y9" s="788" t="s">
        <v>59</v>
      </c>
      <c r="Z9" s="115" t="s">
        <v>29</v>
      </c>
      <c r="AA9" s="96">
        <f>R29</f>
        <v>6.9499999999999493E-3</v>
      </c>
      <c r="AK9" s="833">
        <v>5</v>
      </c>
      <c r="AL9" s="834" cm="1">
        <f t="array" ref="AL9">_xlfn._xlws.FILTER('Overall MDR_'!BM54:CH54,'Overall MDR_'!BM$11:CH$11=('Exe Sum'!$AA$3-1))</f>
        <v>0.83333333333333326</v>
      </c>
      <c r="AM9" s="834" cm="1">
        <f t="array" ref="AM9">_xlfn._xlws.FILTER('Overall MDR_'!CL54:DG54,'Overall MDR_'!CL$11:DG$11=('Exe Sum'!$AA$3-1))</f>
        <v>0.16666666666666666</v>
      </c>
      <c r="AN9" s="834" cm="1">
        <f t="array" ref="AN9">_xlfn._xlws.FILTER('Overall MDR_'!DL54:EG54,'Overall MDR_'!DL$11:EG$11=('Exe Sum'!$AA$3-1))</f>
        <v>1</v>
      </c>
      <c r="AO9" s="834">
        <f t="shared" si="0"/>
        <v>0.16666666666666674</v>
      </c>
      <c r="AP9" s="834">
        <f t="shared" si="1"/>
        <v>0.83333333333333337</v>
      </c>
      <c r="AQ9" s="834">
        <f t="shared" si="2"/>
        <v>0.16666666666666674</v>
      </c>
      <c r="AR9" s="834">
        <f t="shared" si="3"/>
        <v>0</v>
      </c>
      <c r="AS9" s="834">
        <f t="shared" si="4"/>
        <v>0</v>
      </c>
      <c r="AT9" s="834">
        <f t="shared" si="5"/>
        <v>-0.16666666666666674</v>
      </c>
      <c r="AU9" s="834">
        <f t="shared" si="6"/>
        <v>0</v>
      </c>
      <c r="AV9" s="834" cm="1">
        <f t="array" ref="AV9">_xlfn._xlws.FILTER('Overall MDR_'!BM54:CH54,'Overall MDR_'!BM$11:CH$11=('Exe Sum'!$AA$3))</f>
        <v>1</v>
      </c>
      <c r="AW9" s="834" cm="1">
        <f t="array" ref="AW9">_xlfn._xlws.FILTER('Overall MDR_'!CL54:DG54,'Overall MDR_'!CL$11:DG$11=('Exe Sum'!$AA$3))</f>
        <v>0.16666666666666666</v>
      </c>
      <c r="AX9" s="834" cm="1">
        <f t="array" ref="AX9">_xlfn._xlws.FILTER('Overall MDR_'!DL54:EG54,'Overall MDR_'!DL$11:EG$11=('Exe Sum'!$AA$3))</f>
        <v>1</v>
      </c>
      <c r="AY9" s="834">
        <f t="shared" si="7"/>
        <v>0</v>
      </c>
      <c r="AZ9" s="834">
        <f t="shared" si="8"/>
        <v>0.83333333333333337</v>
      </c>
    </row>
    <row r="10" spans="1:52" ht="29.25" customHeight="1">
      <c r="A10" s="55"/>
      <c r="B10" s="56"/>
      <c r="C10" s="56"/>
      <c r="D10" s="56"/>
      <c r="E10" s="56"/>
      <c r="F10" s="56"/>
      <c r="G10" s="56"/>
      <c r="H10" s="56"/>
      <c r="I10" s="56"/>
      <c r="J10" s="56"/>
      <c r="K10" s="56"/>
      <c r="L10" s="56"/>
      <c r="M10" s="56"/>
      <c r="N10" s="56"/>
      <c r="O10" s="56"/>
      <c r="P10" s="56"/>
      <c r="Q10" s="56"/>
      <c r="R10" s="56"/>
      <c r="S10" s="56"/>
      <c r="T10" s="57"/>
      <c r="U10" s="33"/>
      <c r="Y10" s="788" t="s">
        <v>147</v>
      </c>
      <c r="Z10" s="34" t="s">
        <v>29</v>
      </c>
      <c r="AA10" s="96">
        <f>'Overall MDR_'!BJ38</f>
        <v>3.09E-2</v>
      </c>
      <c r="AK10" s="833">
        <v>6</v>
      </c>
      <c r="AL10" s="834" cm="1">
        <f t="array" ref="AL10">_xlfn._xlws.FILTER('Overall MDR_'!BM55:CH55,'Overall MDR_'!BM$11:CH$11=('Exe Sum'!$AA$3-1))</f>
        <v>0.32441450112287457</v>
      </c>
      <c r="AM10" s="834" cm="1">
        <f t="array" ref="AM10">_xlfn._xlws.FILTER('Overall MDR_'!CL55:DG55,'Overall MDR_'!CL$11:DG$11=('Exe Sum'!$AA$3-1))</f>
        <v>0</v>
      </c>
      <c r="AN10" s="834" cm="1">
        <f t="array" ref="AN10">_xlfn._xlws.FILTER('Overall MDR_'!DL55:EG55,'Overall MDR_'!DL$11:EG$11=('Exe Sum'!$AA$3-1))</f>
        <v>0.55004812319538032</v>
      </c>
      <c r="AO10" s="834">
        <f t="shared" si="0"/>
        <v>0.22563362207250576</v>
      </c>
      <c r="AP10" s="834">
        <f t="shared" si="1"/>
        <v>0.55004812319538032</v>
      </c>
      <c r="AQ10" s="834">
        <f>AV10-AL10</f>
        <v>0.22563362207250576</v>
      </c>
      <c r="AR10" s="834">
        <f t="shared" si="3"/>
        <v>0</v>
      </c>
      <c r="AS10" s="834">
        <f t="shared" si="4"/>
        <v>0.18752005133140826</v>
      </c>
      <c r="AT10" s="834">
        <f t="shared" si="5"/>
        <v>-3.8113570741097502E-2</v>
      </c>
      <c r="AU10" s="834">
        <f t="shared" si="6"/>
        <v>0.18752005133140826</v>
      </c>
      <c r="AV10" s="834" cm="1">
        <f t="array" ref="AV10">_xlfn._xlws.FILTER('Overall MDR_'!BM55:CH55,'Overall MDR_'!BM$11:CH$11=('Exe Sum'!$AA$3))</f>
        <v>0.55004812319538032</v>
      </c>
      <c r="AW10" s="834" cm="1">
        <f t="array" ref="AW10">_xlfn._xlws.FILTER('Overall MDR_'!CL55:DG55,'Overall MDR_'!CL$11:DG$11=('Exe Sum'!$AA$3))</f>
        <v>0</v>
      </c>
      <c r="AX10" s="834" cm="1">
        <f t="array" ref="AX10">_xlfn._xlws.FILTER('Overall MDR_'!DL55:EG55,'Overall MDR_'!DL$11:EG$11=('Exe Sum'!$AA$3))</f>
        <v>0.73756817452678858</v>
      </c>
      <c r="AY10" s="834">
        <f t="shared" si="7"/>
        <v>0.18752005133140826</v>
      </c>
      <c r="AZ10" s="834">
        <f t="shared" si="8"/>
        <v>0.73756817452678858</v>
      </c>
    </row>
    <row r="11" spans="1:52" ht="20.25" customHeight="1">
      <c r="A11" s="409" t="s">
        <v>93</v>
      </c>
      <c r="B11" s="99" t="s">
        <v>56</v>
      </c>
      <c r="C11" s="60"/>
      <c r="D11" s="60"/>
      <c r="E11" s="60"/>
      <c r="F11" s="60"/>
      <c r="G11" s="60"/>
      <c r="H11" s="60"/>
      <c r="I11" s="60"/>
      <c r="J11" s="60"/>
      <c r="K11" s="60"/>
      <c r="L11" s="60"/>
      <c r="M11" s="60"/>
      <c r="N11" s="60"/>
      <c r="O11" s="60"/>
      <c r="P11" s="60"/>
      <c r="Q11" s="60"/>
      <c r="R11" s="64"/>
      <c r="S11" s="64"/>
      <c r="T11" s="62"/>
      <c r="U11" s="33"/>
    </row>
    <row r="12" spans="1:52" ht="20.25" customHeight="1">
      <c r="A12" s="58"/>
      <c r="B12" s="946" t="str">
        <f>AA14&amp;" "&amp;AA15&amp;" "&amp;AA16&amp;" "&amp;AA17&amp;" "&amp;AA18</f>
        <v>Integrated Management Dashboard Production &amp; Project Zona 13 progress this week (cut-off date : 05 Juli 2026) :  planned cumulative progress plan is 85.98% against the actual cumulative progress of 86.67%. The progress for this week is behind the schedule 3.09%</v>
      </c>
      <c r="C12" s="946"/>
      <c r="D12" s="946"/>
      <c r="E12" s="946"/>
      <c r="F12" s="946"/>
      <c r="G12" s="946"/>
      <c r="H12" s="946"/>
      <c r="I12" s="946"/>
      <c r="J12" s="946"/>
      <c r="K12" s="946"/>
      <c r="L12" s="946"/>
      <c r="M12" s="946"/>
      <c r="N12" s="946"/>
      <c r="O12" s="946"/>
      <c r="P12" s="946"/>
      <c r="Q12" s="946"/>
      <c r="R12" s="946"/>
      <c r="S12" s="946"/>
      <c r="T12" s="947"/>
      <c r="U12" s="33"/>
    </row>
    <row r="13" spans="1:52" ht="20.25" customHeight="1">
      <c r="A13" s="63"/>
      <c r="B13" s="946"/>
      <c r="C13" s="946"/>
      <c r="D13" s="946"/>
      <c r="E13" s="946"/>
      <c r="F13" s="946"/>
      <c r="G13" s="946"/>
      <c r="H13" s="946"/>
      <c r="I13" s="946"/>
      <c r="J13" s="946"/>
      <c r="K13" s="946"/>
      <c r="L13" s="946"/>
      <c r="M13" s="946"/>
      <c r="N13" s="946"/>
      <c r="O13" s="946"/>
      <c r="P13" s="946"/>
      <c r="Q13" s="946"/>
      <c r="R13" s="946"/>
      <c r="S13" s="946"/>
      <c r="T13" s="947"/>
      <c r="U13" s="33"/>
      <c r="Y13" s="34" t="s">
        <v>243</v>
      </c>
    </row>
    <row r="14" spans="1:52" ht="20.25" customHeight="1">
      <c r="A14" s="58"/>
      <c r="B14" s="946"/>
      <c r="C14" s="946"/>
      <c r="D14" s="946"/>
      <c r="E14" s="946"/>
      <c r="F14" s="946"/>
      <c r="G14" s="946"/>
      <c r="H14" s="946"/>
      <c r="I14" s="946"/>
      <c r="J14" s="946"/>
      <c r="K14" s="946"/>
      <c r="L14" s="946"/>
      <c r="M14" s="946"/>
      <c r="N14" s="946"/>
      <c r="O14" s="946"/>
      <c r="P14" s="946"/>
      <c r="Q14" s="946"/>
      <c r="R14" s="946"/>
      <c r="S14" s="946"/>
      <c r="T14" s="947"/>
      <c r="U14" s="33"/>
      <c r="AA14" s="790" t="str">
        <f>AA4</f>
        <v>Integrated Management Dashboard Production &amp; Project Zona 13</v>
      </c>
    </row>
    <row r="15" spans="1:52" ht="20.25" customHeight="1">
      <c r="A15" s="58"/>
      <c r="B15" s="943" t="s">
        <v>95</v>
      </c>
      <c r="C15" s="943"/>
      <c r="D15" s="943"/>
      <c r="E15" s="943"/>
      <c r="F15" s="943"/>
      <c r="G15" s="943"/>
      <c r="H15" s="943"/>
      <c r="I15" s="943"/>
      <c r="J15" s="943"/>
      <c r="K15" s="943"/>
      <c r="L15" s="943"/>
      <c r="M15" s="943"/>
      <c r="N15" s="943"/>
      <c r="O15" s="943"/>
      <c r="P15" s="474"/>
      <c r="Q15" s="474"/>
      <c r="R15" s="64"/>
      <c r="S15" s="64"/>
      <c r="T15" s="62"/>
      <c r="U15" s="33"/>
      <c r="AA15" s="34" t="str">
        <f>"progress this week (cut-off date : "&amp;TEXT(AA6,"dd mmmm yyyy")&amp;") : "</f>
        <v xml:space="preserve">progress this week (cut-off date : 05 Juli 2026) : </v>
      </c>
    </row>
    <row r="16" spans="1:52" ht="20.25" customHeight="1">
      <c r="A16" s="409"/>
      <c r="B16" s="99"/>
      <c r="D16" s="66"/>
      <c r="E16" s="66"/>
      <c r="F16" s="66"/>
      <c r="G16" s="66"/>
      <c r="H16" s="66"/>
      <c r="I16" s="66"/>
      <c r="J16" s="66"/>
      <c r="K16" s="66"/>
      <c r="L16" s="66"/>
      <c r="M16" s="66"/>
      <c r="N16" s="66"/>
      <c r="O16" s="66"/>
      <c r="P16" s="66"/>
      <c r="Q16" s="66"/>
      <c r="R16" s="64"/>
      <c r="S16" s="64"/>
      <c r="T16" s="62"/>
      <c r="U16" s="33"/>
      <c r="AA16" s="34" t="str">
        <f>"planned cumulative progress plan is "&amp;TEXT(AA7,"0.00%")</f>
        <v>planned cumulative progress plan is 85.98%</v>
      </c>
    </row>
    <row r="17" spans="1:27" s="400" customFormat="1" ht="20.25" customHeight="1">
      <c r="A17" s="67"/>
      <c r="B17" s="944" t="s">
        <v>96</v>
      </c>
      <c r="C17" s="944"/>
      <c r="D17" s="944"/>
      <c r="E17" s="944"/>
      <c r="F17" s="944"/>
      <c r="G17" s="944"/>
      <c r="H17" s="944"/>
      <c r="I17" s="944"/>
      <c r="J17" s="944"/>
      <c r="K17" s="944"/>
      <c r="L17" s="944"/>
      <c r="M17" s="944"/>
      <c r="N17" s="944"/>
      <c r="O17" s="944"/>
      <c r="P17" s="944"/>
      <c r="Q17" s="944"/>
      <c r="R17" s="944"/>
      <c r="S17" s="944"/>
      <c r="T17" s="945"/>
      <c r="U17" s="399"/>
      <c r="AA17" s="34" t="str">
        <f>"against the actual cumulative progress of "&amp;TEXT(AA8,"0.00%")&amp;"."</f>
        <v>against the actual cumulative progress of 86.67%.</v>
      </c>
    </row>
    <row r="18" spans="1:27" s="371" customFormat="1" ht="20.25" customHeight="1">
      <c r="A18" s="369"/>
      <c r="B18" s="475"/>
      <c r="C18" s="401"/>
      <c r="D18" s="476"/>
      <c r="E18" s="476"/>
      <c r="F18" s="476"/>
      <c r="G18" s="476"/>
      <c r="H18" s="476"/>
      <c r="I18" s="476"/>
      <c r="J18" s="476"/>
      <c r="K18" s="476"/>
      <c r="L18" s="476"/>
      <c r="M18" s="476"/>
      <c r="N18" s="476"/>
      <c r="O18" s="476"/>
      <c r="P18" s="476"/>
      <c r="Q18" s="476"/>
      <c r="R18" s="476"/>
      <c r="S18" s="476"/>
      <c r="T18" s="368"/>
      <c r="U18" s="370"/>
      <c r="AA18" s="34" t="str">
        <f>"The progress for this week is behind the schedule "&amp;TEXT(AA10,"0.00%")</f>
        <v>The progress for this week is behind the schedule 3.09%</v>
      </c>
    </row>
    <row r="19" spans="1:27" s="371" customFormat="1" ht="33" customHeight="1">
      <c r="A19" s="369"/>
      <c r="B19" s="941" t="s">
        <v>58</v>
      </c>
      <c r="C19" s="939" t="s">
        <v>32</v>
      </c>
      <c r="D19" s="941" t="s">
        <v>35</v>
      </c>
      <c r="E19" s="930" t="s">
        <v>116</v>
      </c>
      <c r="F19" s="931"/>
      <c r="G19" s="931"/>
      <c r="H19" s="931"/>
      <c r="I19" s="932"/>
      <c r="J19" s="933" t="s">
        <v>30</v>
      </c>
      <c r="K19" s="934"/>
      <c r="L19" s="934"/>
      <c r="M19" s="934"/>
      <c r="N19" s="935"/>
      <c r="O19" s="936" t="s">
        <v>146</v>
      </c>
      <c r="P19" s="937"/>
      <c r="Q19" s="937"/>
      <c r="R19" s="937"/>
      <c r="S19" s="938"/>
      <c r="T19" s="939" t="s">
        <v>33</v>
      </c>
      <c r="U19" s="370"/>
    </row>
    <row r="20" spans="1:27" s="371" customFormat="1" ht="71" customHeight="1">
      <c r="A20" s="369"/>
      <c r="B20" s="942"/>
      <c r="C20" s="940"/>
      <c r="D20" s="942"/>
      <c r="E20" s="386" t="s">
        <v>75</v>
      </c>
      <c r="F20" s="466" t="s">
        <v>147</v>
      </c>
      <c r="G20" s="387" t="s">
        <v>25</v>
      </c>
      <c r="H20" s="388" t="s">
        <v>59</v>
      </c>
      <c r="I20" s="467" t="s">
        <v>149</v>
      </c>
      <c r="J20" s="386" t="s">
        <v>24</v>
      </c>
      <c r="K20" s="466" t="s">
        <v>147</v>
      </c>
      <c r="L20" s="387" t="s">
        <v>25</v>
      </c>
      <c r="M20" s="388" t="s">
        <v>59</v>
      </c>
      <c r="N20" s="467" t="s">
        <v>149</v>
      </c>
      <c r="O20" s="386" t="s">
        <v>24</v>
      </c>
      <c r="P20" s="465" t="s">
        <v>147</v>
      </c>
      <c r="Q20" s="387" t="s">
        <v>25</v>
      </c>
      <c r="R20" s="388" t="s">
        <v>59</v>
      </c>
      <c r="S20" s="467" t="s">
        <v>149</v>
      </c>
      <c r="T20" s="940"/>
      <c r="U20" s="370"/>
      <c r="Y20" s="371" t="s">
        <v>245</v>
      </c>
    </row>
    <row r="21" spans="1:27" s="371" customFormat="1" ht="20.25" customHeight="1">
      <c r="A21" s="369"/>
      <c r="B21" s="197"/>
      <c r="C21" s="198"/>
      <c r="D21" s="199"/>
      <c r="E21" s="199"/>
      <c r="F21" s="199"/>
      <c r="G21" s="199"/>
      <c r="H21" s="199"/>
      <c r="I21" s="199"/>
      <c r="J21" s="199"/>
      <c r="K21" s="199"/>
      <c r="L21" s="199"/>
      <c r="M21" s="199"/>
      <c r="N21" s="199"/>
      <c r="O21" s="199"/>
      <c r="P21" s="199"/>
      <c r="Q21" s="199"/>
      <c r="R21" s="199"/>
      <c r="S21" s="199"/>
      <c r="T21" s="200"/>
      <c r="U21" s="370"/>
      <c r="AA21" s="34" t="str">
        <f>"See Appendix B for the full Master Deliverable Register (MDR) with updated dates as of "&amp;TEXT(AA6,"dd mmmm yyyy")</f>
        <v>See Appendix B for the full Master Deliverable Register (MDR) with updated dates as of 05 Juli 2026</v>
      </c>
    </row>
    <row r="22" spans="1:27" s="371" customFormat="1" ht="46" customHeight="1">
      <c r="A22" s="369"/>
      <c r="B22" s="201">
        <v>1</v>
      </c>
      <c r="C22" s="786" t="str">
        <f>'Overall MDR_'!C16</f>
        <v>Analisis Kebutuhan</v>
      </c>
      <c r="D22" s="202">
        <f>'Overall MDR_'!F16</f>
        <v>9.2700000000000005E-2</v>
      </c>
      <c r="E22" s="203">
        <f>AL5</f>
        <v>1</v>
      </c>
      <c r="F22" s="203">
        <f t="shared" ref="F22:R27" si="9">AM5</f>
        <v>0</v>
      </c>
      <c r="G22" s="203">
        <f t="shared" si="9"/>
        <v>1</v>
      </c>
      <c r="H22" s="203">
        <f t="shared" si="9"/>
        <v>0</v>
      </c>
      <c r="I22" s="203">
        <v>0</v>
      </c>
      <c r="J22" s="203">
        <f t="shared" si="9"/>
        <v>0</v>
      </c>
      <c r="K22" s="203">
        <f t="shared" si="9"/>
        <v>0</v>
      </c>
      <c r="L22" s="203">
        <f t="shared" si="9"/>
        <v>0</v>
      </c>
      <c r="M22" s="203">
        <f t="shared" si="9"/>
        <v>0</v>
      </c>
      <c r="N22" s="203">
        <f t="shared" si="9"/>
        <v>0</v>
      </c>
      <c r="O22" s="203">
        <f>AV5</f>
        <v>1</v>
      </c>
      <c r="P22" s="203">
        <f t="shared" si="9"/>
        <v>0</v>
      </c>
      <c r="Q22" s="203">
        <f t="shared" si="9"/>
        <v>1</v>
      </c>
      <c r="R22" s="203">
        <f>AY5</f>
        <v>0</v>
      </c>
      <c r="S22" s="203">
        <v>0</v>
      </c>
      <c r="T22" s="204"/>
      <c r="U22" s="370"/>
    </row>
    <row r="23" spans="1:27" s="371" customFormat="1" ht="27" customHeight="1">
      <c r="A23" s="369"/>
      <c r="B23" s="201">
        <v>2</v>
      </c>
      <c r="C23" s="786" t="str">
        <f>'Overall MDR_'!C19</f>
        <v>Pengadaan</v>
      </c>
      <c r="D23" s="202">
        <f>'Overall MDR_'!F19</f>
        <v>5.1499999999999997E-2</v>
      </c>
      <c r="E23" s="203">
        <f t="shared" ref="E23:E27" si="10">AL6</f>
        <v>1</v>
      </c>
      <c r="F23" s="203">
        <f t="shared" si="9"/>
        <v>0</v>
      </c>
      <c r="G23" s="203">
        <f t="shared" si="9"/>
        <v>0</v>
      </c>
      <c r="H23" s="203">
        <f t="shared" si="9"/>
        <v>-1</v>
      </c>
      <c r="I23" s="203">
        <f t="shared" si="9"/>
        <v>0</v>
      </c>
      <c r="J23" s="203">
        <f t="shared" si="9"/>
        <v>0</v>
      </c>
      <c r="K23" s="203">
        <f t="shared" si="9"/>
        <v>0</v>
      </c>
      <c r="L23" s="203">
        <f t="shared" si="9"/>
        <v>0</v>
      </c>
      <c r="M23" s="203">
        <f t="shared" si="9"/>
        <v>0</v>
      </c>
      <c r="N23" s="203">
        <f t="shared" si="9"/>
        <v>0</v>
      </c>
      <c r="O23" s="203">
        <f t="shared" si="9"/>
        <v>1</v>
      </c>
      <c r="P23" s="203">
        <f t="shared" si="9"/>
        <v>0</v>
      </c>
      <c r="Q23" s="203">
        <f t="shared" si="9"/>
        <v>0</v>
      </c>
      <c r="R23" s="203">
        <f t="shared" si="9"/>
        <v>-1</v>
      </c>
      <c r="S23" s="203">
        <f t="shared" ref="S23" si="11">Q23-P23</f>
        <v>0</v>
      </c>
      <c r="T23" s="204" t="s">
        <v>300</v>
      </c>
      <c r="U23" s="370"/>
    </row>
    <row r="24" spans="1:27" s="371" customFormat="1" ht="27" customHeight="1">
      <c r="A24" s="369"/>
      <c r="B24" s="201">
        <v>3</v>
      </c>
      <c r="C24" s="786" t="str">
        <f>'Overall MDR_'!C21</f>
        <v>Desain UI/UX</v>
      </c>
      <c r="D24" s="202">
        <f>'Overall MDR_'!F21</f>
        <v>0.17330000000000001</v>
      </c>
      <c r="E24" s="203">
        <f t="shared" si="10"/>
        <v>0.97475476053087118</v>
      </c>
      <c r="F24" s="203">
        <f t="shared" si="9"/>
        <v>0</v>
      </c>
      <c r="G24" s="203">
        <f t="shared" si="9"/>
        <v>1</v>
      </c>
      <c r="H24" s="203">
        <f t="shared" si="9"/>
        <v>2.5245239469128822E-2</v>
      </c>
      <c r="I24" s="203">
        <v>0</v>
      </c>
      <c r="J24" s="203">
        <f t="shared" si="9"/>
        <v>2.5245239469128822E-2</v>
      </c>
      <c r="K24" s="203">
        <f t="shared" si="9"/>
        <v>0</v>
      </c>
      <c r="L24" s="203">
        <f t="shared" si="9"/>
        <v>0</v>
      </c>
      <c r="M24" s="203">
        <f t="shared" si="9"/>
        <v>-2.5245239469128822E-2</v>
      </c>
      <c r="N24" s="203">
        <f t="shared" si="9"/>
        <v>0</v>
      </c>
      <c r="O24" s="203">
        <f t="shared" si="9"/>
        <v>1</v>
      </c>
      <c r="P24" s="203">
        <f t="shared" si="9"/>
        <v>0</v>
      </c>
      <c r="Q24" s="203">
        <f t="shared" si="9"/>
        <v>1</v>
      </c>
      <c r="R24" s="203">
        <f t="shared" si="9"/>
        <v>0</v>
      </c>
      <c r="S24" s="203">
        <v>0</v>
      </c>
      <c r="T24" s="436"/>
      <c r="U24" s="370"/>
    </row>
    <row r="25" spans="1:27" s="371" customFormat="1" ht="157" customHeight="1">
      <c r="A25" s="369"/>
      <c r="B25" s="201">
        <v>4</v>
      </c>
      <c r="C25" s="786" t="str">
        <f>'Overall MDR_'!C25</f>
        <v>Integrasi Sumber Data;  Konfigurasi database dengan sumber data; Data Connection Schema &amp; Production Data Mapping</v>
      </c>
      <c r="D25" s="202">
        <f>'Overall MDR_'!F25</f>
        <v>0.18540000000000001</v>
      </c>
      <c r="E25" s="203">
        <f t="shared" si="10"/>
        <v>1</v>
      </c>
      <c r="F25" s="203">
        <f t="shared" si="9"/>
        <v>0</v>
      </c>
      <c r="G25" s="203">
        <f t="shared" si="9"/>
        <v>1</v>
      </c>
      <c r="H25" s="203">
        <f t="shared" si="9"/>
        <v>0</v>
      </c>
      <c r="I25" s="203">
        <v>0</v>
      </c>
      <c r="J25" s="203">
        <f t="shared" si="9"/>
        <v>0</v>
      </c>
      <c r="K25" s="203">
        <f t="shared" si="9"/>
        <v>0</v>
      </c>
      <c r="L25" s="203">
        <f t="shared" si="9"/>
        <v>0</v>
      </c>
      <c r="M25" s="203">
        <f t="shared" si="9"/>
        <v>0</v>
      </c>
      <c r="N25" s="203">
        <f t="shared" si="9"/>
        <v>0</v>
      </c>
      <c r="O25" s="203">
        <f t="shared" si="9"/>
        <v>1</v>
      </c>
      <c r="P25" s="203">
        <f t="shared" si="9"/>
        <v>0</v>
      </c>
      <c r="Q25" s="203">
        <f t="shared" si="9"/>
        <v>1</v>
      </c>
      <c r="R25" s="203">
        <f t="shared" si="9"/>
        <v>0</v>
      </c>
      <c r="S25" s="203">
        <v>0</v>
      </c>
      <c r="T25" s="436"/>
      <c r="U25" s="370"/>
    </row>
    <row r="26" spans="1:27" s="371" customFormat="1" ht="40">
      <c r="A26" s="369"/>
      <c r="B26" s="201">
        <v>5</v>
      </c>
      <c r="C26" s="786" t="str">
        <f>'Overall MDR_'!C29</f>
        <v>Persiapan Data (ETL)</v>
      </c>
      <c r="D26" s="202">
        <f>'Overall MDR_'!F29</f>
        <v>0.18540000000000001</v>
      </c>
      <c r="E26" s="203">
        <f t="shared" si="10"/>
        <v>0.83333333333333326</v>
      </c>
      <c r="F26" s="203">
        <v>0</v>
      </c>
      <c r="G26" s="203">
        <f t="shared" si="9"/>
        <v>1</v>
      </c>
      <c r="H26" s="203">
        <f t="shared" si="9"/>
        <v>0.16666666666666674</v>
      </c>
      <c r="I26" s="203">
        <v>0</v>
      </c>
      <c r="J26" s="203">
        <f t="shared" si="9"/>
        <v>0.16666666666666674</v>
      </c>
      <c r="K26" s="203">
        <f t="shared" si="9"/>
        <v>0</v>
      </c>
      <c r="L26" s="203">
        <f t="shared" si="9"/>
        <v>0</v>
      </c>
      <c r="M26" s="203">
        <f t="shared" si="9"/>
        <v>-0.16666666666666674</v>
      </c>
      <c r="N26" s="203">
        <f t="shared" si="9"/>
        <v>0</v>
      </c>
      <c r="O26" s="203">
        <f t="shared" si="9"/>
        <v>1</v>
      </c>
      <c r="P26" s="203">
        <v>0</v>
      </c>
      <c r="Q26" s="203">
        <f t="shared" si="9"/>
        <v>1</v>
      </c>
      <c r="R26" s="203">
        <f t="shared" si="9"/>
        <v>0</v>
      </c>
      <c r="S26" s="203">
        <v>0</v>
      </c>
      <c r="T26" s="436"/>
      <c r="U26" s="370"/>
    </row>
    <row r="27" spans="1:27" s="371" customFormat="1" ht="40">
      <c r="A27" s="369"/>
      <c r="B27" s="201">
        <v>6</v>
      </c>
      <c r="C27" s="786" t="str">
        <f>'Overall MDR_'!C32</f>
        <v>Pengembangan Dashboard</v>
      </c>
      <c r="D27" s="202">
        <f>'Overall MDR_'!F32</f>
        <v>0.31169999999999998</v>
      </c>
      <c r="E27" s="203">
        <f t="shared" si="10"/>
        <v>0.32441450112287457</v>
      </c>
      <c r="F27" s="203">
        <f t="shared" si="9"/>
        <v>0</v>
      </c>
      <c r="G27" s="203">
        <f t="shared" si="9"/>
        <v>0.55004812319538032</v>
      </c>
      <c r="H27" s="203">
        <f t="shared" si="9"/>
        <v>0.22563362207250576</v>
      </c>
      <c r="I27" s="203">
        <v>0</v>
      </c>
      <c r="J27" s="203">
        <f t="shared" si="9"/>
        <v>0.22563362207250576</v>
      </c>
      <c r="K27" s="203">
        <f t="shared" si="9"/>
        <v>0</v>
      </c>
      <c r="L27" s="203">
        <f t="shared" si="9"/>
        <v>0.18752005133140826</v>
      </c>
      <c r="M27" s="203">
        <f t="shared" si="9"/>
        <v>-3.8113570741097502E-2</v>
      </c>
      <c r="N27" s="203">
        <v>0</v>
      </c>
      <c r="O27" s="203">
        <f t="shared" si="9"/>
        <v>0.55004812319538032</v>
      </c>
      <c r="P27" s="203">
        <f t="shared" si="9"/>
        <v>0</v>
      </c>
      <c r="Q27" s="203">
        <f t="shared" si="9"/>
        <v>0.73756817452678858</v>
      </c>
      <c r="R27" s="203">
        <f t="shared" si="9"/>
        <v>0.18752005133140826</v>
      </c>
      <c r="S27" s="203">
        <v>0</v>
      </c>
      <c r="T27" s="436" t="s">
        <v>301</v>
      </c>
      <c r="U27" s="370"/>
    </row>
    <row r="28" spans="1:27" ht="13" customHeight="1">
      <c r="A28" s="67"/>
      <c r="B28" s="205"/>
      <c r="C28" s="206"/>
      <c r="D28" s="207"/>
      <c r="E28" s="208"/>
      <c r="F28" s="208"/>
      <c r="G28" s="208"/>
      <c r="H28" s="208"/>
      <c r="I28" s="208"/>
      <c r="J28" s="208"/>
      <c r="K28" s="208"/>
      <c r="L28" s="208"/>
      <c r="M28" s="208"/>
      <c r="N28" s="208"/>
      <c r="O28" s="208"/>
      <c r="P28" s="208"/>
      <c r="Q28" s="208"/>
      <c r="R28" s="208"/>
      <c r="S28" s="208"/>
      <c r="T28" s="209"/>
      <c r="U28" s="33"/>
    </row>
    <row r="29" spans="1:27" ht="20.25" customHeight="1">
      <c r="A29" s="67"/>
      <c r="B29" s="387"/>
      <c r="C29" s="389" t="s">
        <v>34</v>
      </c>
      <c r="D29" s="390">
        <f>SUM(D22:D27)</f>
        <v>1</v>
      </c>
      <c r="E29" s="390" cm="1">
        <f t="array" ref="E29">SUMPRODUCT($D$22:$D$27*E$22:E$27)</f>
        <v>0.75414499999999995</v>
      </c>
      <c r="F29" s="390" cm="1">
        <f t="array" ref="F29">SUMPRODUCT(D22:D27*F22:F27)</f>
        <v>0</v>
      </c>
      <c r="G29" s="390" cm="1">
        <f t="array" ref="G29">SUMPRODUCT(D22:D27*G22:G27)</f>
        <v>0.80825000000000014</v>
      </c>
      <c r="H29" s="390" cm="1">
        <f t="array" ref="H29">SUMPRODUCT($D$22:$D$27*H$22:H$27)</f>
        <v>5.4105000000000084E-2</v>
      </c>
      <c r="I29" s="390" cm="1">
        <f t="array" ref="I29">SUMPRODUCT(D22:D27*I22:I27)</f>
        <v>0</v>
      </c>
      <c r="J29" s="390" cm="1">
        <f t="array" ref="J29">SUMPRODUCT($D$22:$D$27*J$22:J$27)</f>
        <v>0.10560500000000009</v>
      </c>
      <c r="K29" s="390" cm="1">
        <f t="array" ref="K29">SUMPRODUCT(D22:D27*K22:K27)</f>
        <v>0</v>
      </c>
      <c r="L29" s="390" cm="1">
        <f t="array" ref="L29">SUMPRODUCT($D$22:$D$27*L$22:L$27)</f>
        <v>5.8449999999999946E-2</v>
      </c>
      <c r="M29" s="390" cm="1">
        <f t="array" ref="M29">SUMPRODUCT($D$22:$D$27*M$22:M$27)</f>
        <v>-4.7155000000000134E-2</v>
      </c>
      <c r="N29" s="390" cm="1">
        <f t="array" ref="N29">SUMPRODUCT(D22:D27*N22:N27)</f>
        <v>0</v>
      </c>
      <c r="O29" s="390" cm="1">
        <f t="array" ref="O29">SUMPRODUCT($D$22:$D$27*O$22:O$27)</f>
        <v>0.85975000000000001</v>
      </c>
      <c r="P29" s="390" cm="1">
        <f t="array" ref="P29">SUMPRODUCT(D22:D27*P22:P27)</f>
        <v>0</v>
      </c>
      <c r="Q29" s="390" cm="1">
        <f t="array" ref="Q29">SUMPRODUCT($D$22:$D$27*Q$22:Q$27)</f>
        <v>0.86670000000000003</v>
      </c>
      <c r="R29" s="390" cm="1">
        <f t="array" ref="R29">SUMPRODUCT($D$22:$D$27*R$22:R$27)</f>
        <v>6.9499999999999493E-3</v>
      </c>
      <c r="S29" s="390" cm="1">
        <f t="array" ref="S29">SUMPRODUCT(D22:D27*S22:S27)</f>
        <v>0</v>
      </c>
      <c r="T29" s="391"/>
      <c r="U29" s="33"/>
    </row>
    <row r="30" spans="1:27" ht="20.25" customHeight="1">
      <c r="A30" s="67"/>
      <c r="B30" s="797" t="s">
        <v>256</v>
      </c>
      <c r="C30" s="477" t="s">
        <v>97</v>
      </c>
      <c r="D30" s="478"/>
      <c r="E30" s="479"/>
      <c r="F30" s="479"/>
      <c r="G30" s="479"/>
      <c r="H30" s="479"/>
      <c r="I30" s="479"/>
      <c r="J30" s="480"/>
      <c r="K30" s="480"/>
      <c r="L30" s="479"/>
      <c r="M30" s="479"/>
      <c r="N30" s="479"/>
      <c r="O30" s="481"/>
      <c r="P30" s="481"/>
      <c r="Q30" s="64"/>
      <c r="R30" s="64"/>
      <c r="S30" s="64"/>
      <c r="T30" s="62"/>
      <c r="U30" s="33"/>
    </row>
    <row r="31" spans="1:27" ht="20.25" customHeight="1">
      <c r="A31" s="67"/>
      <c r="B31" s="475"/>
      <c r="C31" s="482"/>
      <c r="D31" s="483"/>
      <c r="E31" s="479"/>
      <c r="F31" s="479"/>
      <c r="G31" s="479"/>
      <c r="H31" s="479"/>
      <c r="I31" s="479"/>
      <c r="J31" s="480"/>
      <c r="K31" s="480"/>
      <c r="L31" s="479"/>
      <c r="M31" s="479"/>
      <c r="N31" s="479"/>
      <c r="O31" s="481"/>
      <c r="P31" s="481"/>
      <c r="Q31" s="64"/>
      <c r="R31" s="64"/>
      <c r="S31" s="64"/>
      <c r="T31" s="62"/>
      <c r="U31" s="33"/>
    </row>
    <row r="32" spans="1:27" ht="20.25" customHeight="1">
      <c r="A32" s="409" t="s">
        <v>94</v>
      </c>
      <c r="B32" s="99" t="s">
        <v>76</v>
      </c>
      <c r="C32" s="60"/>
      <c r="D32" s="484"/>
      <c r="E32" s="479"/>
      <c r="F32" s="479"/>
      <c r="G32" s="479"/>
      <c r="H32" s="479"/>
      <c r="I32" s="479"/>
      <c r="J32" s="485"/>
      <c r="K32" s="485"/>
      <c r="L32" s="479"/>
      <c r="M32" s="479"/>
      <c r="N32" s="479"/>
      <c r="O32" s="486"/>
      <c r="P32" s="486"/>
      <c r="Q32" s="64"/>
      <c r="R32" s="64"/>
      <c r="S32" s="64"/>
      <c r="T32" s="62"/>
      <c r="U32" s="33"/>
    </row>
    <row r="33" spans="1:27" ht="70" customHeight="1">
      <c r="A33" s="67"/>
      <c r="B33" s="928" t="s">
        <v>288</v>
      </c>
      <c r="C33" s="928"/>
      <c r="D33" s="928"/>
      <c r="E33" s="928"/>
      <c r="F33" s="928"/>
      <c r="G33" s="928"/>
      <c r="H33" s="928"/>
      <c r="I33" s="928"/>
      <c r="J33" s="928"/>
      <c r="K33" s="928"/>
      <c r="L33" s="928"/>
      <c r="M33" s="928"/>
      <c r="N33" s="928"/>
      <c r="O33" s="928"/>
      <c r="P33" s="928"/>
      <c r="Q33" s="928"/>
      <c r="R33" s="928"/>
      <c r="S33" s="928"/>
      <c r="T33" s="929"/>
      <c r="U33" s="33"/>
    </row>
    <row r="34" spans="1:27" ht="15" customHeight="1">
      <c r="A34" s="68"/>
      <c r="B34" s="475"/>
      <c r="C34" s="482"/>
      <c r="D34" s="483"/>
      <c r="E34" s="479"/>
      <c r="F34" s="479"/>
      <c r="G34" s="479"/>
      <c r="H34" s="487"/>
      <c r="I34" s="487"/>
      <c r="J34" s="480"/>
      <c r="K34" s="480"/>
      <c r="L34" s="487"/>
      <c r="M34" s="487"/>
      <c r="N34" s="487"/>
      <c r="O34" s="481"/>
      <c r="P34" s="481"/>
      <c r="Q34" s="69"/>
      <c r="R34" s="69"/>
      <c r="S34" s="69"/>
      <c r="T34" s="70"/>
      <c r="U34" s="33"/>
    </row>
    <row r="35" spans="1:27" ht="20.25" customHeight="1">
      <c r="A35" s="409" t="s">
        <v>98</v>
      </c>
      <c r="B35" s="488" t="s">
        <v>82</v>
      </c>
      <c r="C35" s="153"/>
      <c r="D35" s="484"/>
      <c r="E35" s="479"/>
      <c r="F35" s="479"/>
      <c r="G35" s="479"/>
      <c r="H35" s="479"/>
      <c r="I35" s="479"/>
      <c r="J35" s="485"/>
      <c r="K35" s="485"/>
      <c r="L35" s="479"/>
      <c r="M35" s="479"/>
      <c r="N35" s="479"/>
      <c r="O35" s="486"/>
      <c r="P35" s="486"/>
      <c r="Q35" s="64"/>
      <c r="R35" s="64"/>
      <c r="S35" s="64"/>
      <c r="T35" s="62"/>
      <c r="U35" s="33"/>
      <c r="AA35" s="826"/>
    </row>
    <row r="36" spans="1:27" ht="20.25" customHeight="1">
      <c r="A36" s="67"/>
      <c r="B36" s="477" t="str">
        <f>AA21</f>
        <v>See Appendix B for the full Master Deliverable Register (MDR) with updated dates as of 05 Juli 2026</v>
      </c>
      <c r="C36" s="475"/>
      <c r="D36" s="483"/>
      <c r="E36" s="479"/>
      <c r="F36" s="479"/>
      <c r="G36" s="479"/>
      <c r="H36" s="479"/>
      <c r="I36" s="479"/>
      <c r="J36" s="480"/>
      <c r="K36" s="480"/>
      <c r="L36" s="479"/>
      <c r="M36" s="479"/>
      <c r="N36" s="479"/>
      <c r="O36" s="481"/>
      <c r="P36" s="481"/>
      <c r="Q36" s="64"/>
      <c r="R36" s="64"/>
      <c r="S36" s="64"/>
      <c r="T36" s="62"/>
      <c r="U36" s="33"/>
      <c r="AA36" s="826"/>
    </row>
    <row r="37" spans="1:27" ht="20.25" customHeight="1">
      <c r="A37" s="67"/>
      <c r="B37" s="475"/>
      <c r="C37" s="482"/>
      <c r="D37" s="483"/>
      <c r="E37" s="479"/>
      <c r="F37" s="479"/>
      <c r="G37" s="479"/>
      <c r="H37" s="479"/>
      <c r="I37" s="479"/>
      <c r="J37" s="480"/>
      <c r="K37" s="480"/>
      <c r="L37" s="479"/>
      <c r="M37" s="479"/>
      <c r="N37" s="479"/>
      <c r="O37" s="481"/>
      <c r="P37" s="481"/>
      <c r="Q37" s="64"/>
      <c r="R37" s="64"/>
      <c r="S37" s="64"/>
      <c r="T37" s="62"/>
      <c r="U37" s="33"/>
      <c r="AA37" s="826"/>
    </row>
    <row r="38" spans="1:27" ht="20.25" customHeight="1">
      <c r="A38" s="409" t="s">
        <v>103</v>
      </c>
      <c r="B38" s="488" t="s">
        <v>144</v>
      </c>
      <c r="C38" s="475"/>
      <c r="D38" s="483"/>
      <c r="E38" s="479"/>
      <c r="F38" s="479"/>
      <c r="G38" s="479"/>
      <c r="H38" s="479"/>
      <c r="I38" s="479"/>
      <c r="J38" s="485"/>
      <c r="K38" s="485"/>
      <c r="L38" s="479"/>
      <c r="M38" s="479"/>
      <c r="N38" s="479"/>
      <c r="O38" s="481"/>
      <c r="P38" s="481"/>
      <c r="Q38" s="64"/>
      <c r="R38" s="64"/>
      <c r="S38" s="64"/>
      <c r="T38" s="62"/>
      <c r="U38" s="33"/>
      <c r="AA38" s="825"/>
    </row>
    <row r="39" spans="1:27" ht="20.25" customHeight="1">
      <c r="A39" s="67"/>
      <c r="B39" s="477" t="s">
        <v>99</v>
      </c>
      <c r="C39" s="477" t="str">
        <f>": "&amp;AA3</f>
        <v>: 12</v>
      </c>
      <c r="D39" s="483"/>
      <c r="E39" s="479"/>
      <c r="F39" s="479"/>
      <c r="G39" s="479"/>
      <c r="H39" s="479"/>
      <c r="I39" s="479"/>
      <c r="J39" s="480"/>
      <c r="K39" s="480"/>
      <c r="L39" s="479"/>
      <c r="M39" s="479"/>
      <c r="N39" s="479"/>
      <c r="O39" s="481"/>
      <c r="P39" s="481"/>
      <c r="Q39" s="64"/>
      <c r="R39" s="64"/>
      <c r="S39" s="64"/>
      <c r="T39" s="62"/>
      <c r="U39" s="33"/>
    </row>
    <row r="40" spans="1:27" ht="20.25" customHeight="1">
      <c r="A40" s="67"/>
      <c r="B40" s="477" t="s">
        <v>100</v>
      </c>
      <c r="C40" s="477" t="str">
        <f>": "&amp;TEXT(AA5,"dd mmmm yyyy")</f>
        <v>: 29 Juni 2026</v>
      </c>
      <c r="D40" s="483"/>
      <c r="E40" s="479"/>
      <c r="F40" s="479"/>
      <c r="G40" s="479"/>
      <c r="H40" s="479"/>
      <c r="I40" s="479"/>
      <c r="J40" s="480"/>
      <c r="K40" s="480"/>
      <c r="L40" s="479"/>
      <c r="M40" s="479"/>
      <c r="N40" s="479"/>
      <c r="O40" s="481"/>
      <c r="P40" s="481"/>
      <c r="Q40" s="64"/>
      <c r="R40" s="64"/>
      <c r="S40" s="64"/>
      <c r="T40" s="62"/>
      <c r="U40" s="33"/>
    </row>
    <row r="41" spans="1:27" ht="20.25" customHeight="1">
      <c r="A41" s="67"/>
      <c r="B41" s="477" t="s">
        <v>101</v>
      </c>
      <c r="C41" s="477" t="str">
        <f>": "&amp;TEXT(AA6,"dd mmmm yyyy")</f>
        <v>: 05 Juli 2026</v>
      </c>
      <c r="D41" s="483"/>
      <c r="E41" s="479"/>
      <c r="F41" s="479"/>
      <c r="G41" s="479"/>
      <c r="H41" s="479"/>
      <c r="I41" s="479"/>
      <c r="J41" s="489"/>
      <c r="K41" s="489"/>
      <c r="L41" s="479"/>
      <c r="M41" s="479"/>
      <c r="N41" s="479"/>
      <c r="O41" s="481"/>
      <c r="P41" s="481"/>
      <c r="Q41" s="64"/>
      <c r="R41" s="64"/>
      <c r="S41" s="64"/>
      <c r="T41" s="62"/>
      <c r="U41" s="33"/>
    </row>
    <row r="42" spans="1:27" ht="20.25" customHeight="1">
      <c r="A42" s="67"/>
      <c r="B42" s="79" t="s">
        <v>102</v>
      </c>
      <c r="C42" s="401"/>
      <c r="D42" s="476"/>
      <c r="E42" s="476"/>
      <c r="F42" s="476"/>
      <c r="G42" s="476"/>
      <c r="H42" s="479"/>
      <c r="I42" s="479"/>
      <c r="J42" s="490"/>
      <c r="K42" s="490"/>
      <c r="L42" s="479"/>
      <c r="M42" s="479"/>
      <c r="N42" s="479"/>
      <c r="O42" s="491"/>
      <c r="P42" s="491"/>
      <c r="Q42" s="64"/>
      <c r="R42" s="64"/>
      <c r="S42" s="64"/>
      <c r="T42" s="62"/>
      <c r="U42" s="33"/>
    </row>
    <row r="43" spans="1:27" ht="20.25" customHeight="1">
      <c r="A43" s="492"/>
      <c r="B43" s="493"/>
      <c r="C43" s="470"/>
      <c r="D43" s="494"/>
      <c r="E43" s="495"/>
      <c r="F43" s="495"/>
      <c r="G43" s="495"/>
      <c r="H43" s="116"/>
      <c r="I43" s="116"/>
      <c r="J43" s="116"/>
      <c r="K43" s="116"/>
      <c r="L43" s="116"/>
      <c r="M43" s="116"/>
      <c r="N43" s="116"/>
      <c r="O43" s="116"/>
      <c r="P43" s="116"/>
      <c r="Q43" s="116"/>
      <c r="R43" s="116"/>
      <c r="S43" s="116"/>
      <c r="T43" s="496"/>
      <c r="U43" s="33"/>
    </row>
    <row r="44" spans="1:27" ht="20.25" customHeight="1">
      <c r="A44" s="72"/>
      <c r="B44" s="114"/>
      <c r="C44" s="105"/>
      <c r="D44" s="74"/>
      <c r="E44" s="74"/>
      <c r="F44" s="74"/>
      <c r="G44" s="74"/>
      <c r="H44" s="74"/>
      <c r="I44" s="74"/>
      <c r="J44" s="74"/>
      <c r="K44" s="74"/>
      <c r="L44" s="74"/>
      <c r="M44" s="74"/>
      <c r="N44" s="74"/>
      <c r="O44" s="74"/>
      <c r="P44" s="74"/>
      <c r="Q44" s="74"/>
      <c r="R44" s="74"/>
      <c r="S44" s="74"/>
      <c r="T44" s="75"/>
      <c r="U44" s="33"/>
    </row>
    <row r="45" spans="1:27" ht="20.25" customHeight="1">
      <c r="A45" s="398"/>
      <c r="B45" s="99"/>
      <c r="C45" s="79"/>
      <c r="D45" s="74"/>
      <c r="E45" s="69"/>
      <c r="F45" s="69"/>
      <c r="G45" s="69"/>
      <c r="H45" s="69"/>
      <c r="I45" s="69"/>
      <c r="J45" s="69"/>
      <c r="K45" s="69"/>
      <c r="L45" s="69"/>
      <c r="M45" s="69"/>
      <c r="N45" s="69"/>
      <c r="O45" s="69"/>
      <c r="P45" s="69"/>
      <c r="Q45" s="69"/>
      <c r="R45" s="69"/>
      <c r="S45" s="69"/>
      <c r="T45" s="70"/>
      <c r="U45" s="33"/>
    </row>
    <row r="46" spans="1:27" ht="19.5" customHeight="1">
      <c r="A46" s="72"/>
      <c r="B46" s="401"/>
      <c r="C46" s="246"/>
      <c r="D46" s="402"/>
      <c r="E46" s="403"/>
      <c r="F46" s="403"/>
      <c r="G46" s="403"/>
      <c r="H46" s="403"/>
      <c r="I46" s="403"/>
      <c r="J46" s="69"/>
      <c r="K46" s="69"/>
      <c r="L46" s="69"/>
      <c r="M46" s="69"/>
      <c r="N46" s="69"/>
      <c r="O46" s="69"/>
      <c r="P46" s="69"/>
      <c r="Q46" s="69"/>
      <c r="R46" s="69"/>
      <c r="S46" s="69"/>
      <c r="T46" s="70"/>
      <c r="U46" s="33"/>
    </row>
    <row r="47" spans="1:27" ht="22.5" customHeight="1">
      <c r="A47" s="78"/>
      <c r="B47" s="404"/>
      <c r="C47" s="246"/>
      <c r="D47" s="246"/>
      <c r="E47" s="246"/>
      <c r="F47" s="246"/>
      <c r="G47" s="246"/>
      <c r="H47" s="246"/>
      <c r="I47" s="246"/>
      <c r="J47" s="79"/>
      <c r="K47" s="79"/>
      <c r="L47" s="79"/>
      <c r="M47" s="79"/>
      <c r="N47" s="79"/>
      <c r="O47" s="79"/>
      <c r="P47" s="79"/>
      <c r="Q47" s="79"/>
      <c r="R47" s="79"/>
      <c r="S47" s="79"/>
      <c r="T47" s="80"/>
      <c r="U47" s="33"/>
    </row>
    <row r="48" spans="1:27" ht="18.75" customHeight="1">
      <c r="A48" s="77"/>
      <c r="B48" s="405"/>
      <c r="C48" s="246"/>
      <c r="D48" s="402"/>
      <c r="E48" s="402"/>
      <c r="F48" s="402"/>
      <c r="G48" s="402"/>
      <c r="H48" s="402"/>
      <c r="I48" s="402"/>
      <c r="J48" s="74"/>
      <c r="K48" s="74"/>
      <c r="L48" s="74"/>
      <c r="M48" s="74"/>
      <c r="N48" s="74"/>
      <c r="O48" s="74"/>
      <c r="P48" s="74"/>
      <c r="Q48" s="74"/>
      <c r="R48" s="74"/>
      <c r="S48" s="74"/>
      <c r="T48" s="75"/>
      <c r="U48" s="33"/>
    </row>
    <row r="49" spans="1:21" ht="18.75" customHeight="1">
      <c r="A49" s="77"/>
      <c r="B49" s="404"/>
      <c r="C49" s="246"/>
      <c r="D49" s="402"/>
      <c r="E49" s="402"/>
      <c r="F49" s="402"/>
      <c r="G49" s="402"/>
      <c r="H49" s="402"/>
      <c r="I49" s="402"/>
      <c r="J49" s="74"/>
      <c r="K49" s="74"/>
      <c r="L49" s="74"/>
      <c r="M49" s="74"/>
      <c r="N49" s="74"/>
      <c r="O49" s="74"/>
      <c r="P49" s="74"/>
      <c r="Q49" s="74"/>
      <c r="R49" s="74"/>
      <c r="S49" s="74"/>
      <c r="T49" s="75"/>
      <c r="U49" s="33"/>
    </row>
    <row r="50" spans="1:21" ht="18.75" customHeight="1">
      <c r="A50" s="77"/>
      <c r="B50" s="405"/>
      <c r="C50" s="246"/>
      <c r="D50" s="402"/>
      <c r="E50" s="402"/>
      <c r="F50" s="402"/>
      <c r="G50" s="402"/>
      <c r="H50" s="402"/>
      <c r="I50" s="402"/>
      <c r="J50" s="74"/>
      <c r="K50" s="74"/>
      <c r="L50" s="74"/>
      <c r="M50" s="74"/>
      <c r="N50" s="74"/>
      <c r="O50" s="74"/>
      <c r="P50" s="74"/>
      <c r="Q50" s="74"/>
      <c r="R50" s="74"/>
      <c r="S50" s="74"/>
      <c r="T50" s="75"/>
      <c r="U50" s="33"/>
    </row>
    <row r="51" spans="1:21" ht="18.75" customHeight="1">
      <c r="A51" s="77"/>
      <c r="B51" s="404"/>
      <c r="C51" s="246"/>
      <c r="D51" s="402"/>
      <c r="E51" s="402"/>
      <c r="F51" s="402"/>
      <c r="G51" s="402"/>
      <c r="H51" s="402"/>
      <c r="I51" s="402"/>
      <c r="J51" s="74"/>
      <c r="K51" s="74"/>
      <c r="L51" s="74"/>
      <c r="M51" s="74"/>
      <c r="N51" s="74"/>
      <c r="O51" s="74"/>
      <c r="P51" s="74"/>
      <c r="Q51" s="74"/>
      <c r="R51" s="74"/>
      <c r="S51" s="74"/>
      <c r="T51" s="75"/>
      <c r="U51" s="33"/>
    </row>
    <row r="52" spans="1:21" ht="18.75" customHeight="1">
      <c r="A52" s="67"/>
      <c r="B52" s="64"/>
      <c r="C52" s="64"/>
      <c r="D52" s="64"/>
      <c r="E52" s="64"/>
      <c r="F52" s="64"/>
      <c r="G52" s="64"/>
      <c r="H52" s="64"/>
      <c r="I52" s="64"/>
      <c r="J52" s="64"/>
      <c r="K52" s="64"/>
      <c r="L52" s="64"/>
      <c r="M52" s="64"/>
      <c r="N52" s="64"/>
      <c r="O52" s="64"/>
      <c r="P52" s="64"/>
      <c r="Q52" s="64"/>
      <c r="R52" s="64"/>
      <c r="S52" s="64"/>
      <c r="T52" s="62"/>
      <c r="U52" s="33"/>
    </row>
    <row r="53" spans="1:21" ht="19" customHeight="1">
      <c r="A53" s="93"/>
      <c r="B53" s="94"/>
      <c r="C53" s="94"/>
      <c r="D53" s="94"/>
      <c r="E53" s="94"/>
      <c r="F53" s="94"/>
      <c r="G53" s="94"/>
      <c r="H53" s="94"/>
      <c r="I53" s="94"/>
      <c r="J53" s="94"/>
      <c r="K53" s="94"/>
      <c r="L53" s="94"/>
      <c r="M53" s="94"/>
      <c r="N53" s="94"/>
      <c r="O53" s="94"/>
      <c r="P53" s="94"/>
      <c r="Q53" s="94"/>
      <c r="R53" s="94"/>
      <c r="S53" s="94"/>
      <c r="T53" s="95"/>
    </row>
    <row r="167" spans="8:8">
      <c r="H167" s="34" t="s">
        <v>57</v>
      </c>
    </row>
    <row r="229" ht="19.5" customHeight="1"/>
    <row r="247" spans="21:22">
      <c r="U247" s="96">
        <v>0.91759999999999997</v>
      </c>
      <c r="V247" s="96">
        <v>0.84940000000000004</v>
      </c>
    </row>
    <row r="248" spans="21:22">
      <c r="V248" s="97">
        <v>1</v>
      </c>
    </row>
    <row r="254" spans="21:22">
      <c r="U254" s="96">
        <v>0.91210000000000002</v>
      </c>
      <c r="V254" s="96">
        <v>0.89339999999999997</v>
      </c>
    </row>
    <row r="255" spans="21:22">
      <c r="V255" s="96">
        <v>0.68500000000000005</v>
      </c>
    </row>
    <row r="354" hidden="1"/>
    <row r="355" hidden="1"/>
    <row r="356" hidden="1"/>
    <row r="357" hidden="1"/>
    <row r="358" hidden="1"/>
    <row r="359" hidden="1"/>
    <row r="360" hidden="1"/>
    <row r="361" hidden="1"/>
    <row r="362" hidden="1"/>
    <row r="363" hidden="1"/>
    <row r="364" hidden="1"/>
    <row r="365" hidden="1"/>
    <row r="366" hidden="1"/>
    <row r="367" hidden="1"/>
  </sheetData>
  <mergeCells count="21">
    <mergeCell ref="B33:T33"/>
    <mergeCell ref="A5:D5"/>
    <mergeCell ref="O5:T6"/>
    <mergeCell ref="A6:D6"/>
    <mergeCell ref="E19:I19"/>
    <mergeCell ref="J19:N19"/>
    <mergeCell ref="O19:S19"/>
    <mergeCell ref="C19:C20"/>
    <mergeCell ref="D19:D20"/>
    <mergeCell ref="Q7:T7"/>
    <mergeCell ref="A9:T9"/>
    <mergeCell ref="B15:O15"/>
    <mergeCell ref="B17:T17"/>
    <mergeCell ref="B19:B20"/>
    <mergeCell ref="T19:T20"/>
    <mergeCell ref="B12:T14"/>
    <mergeCell ref="A1:D1"/>
    <mergeCell ref="E1:T2"/>
    <mergeCell ref="A2:D2"/>
    <mergeCell ref="A3:D3"/>
    <mergeCell ref="A4:D4"/>
  </mergeCells>
  <pageMargins left="0.7" right="0.7" top="0.75" bottom="0.75" header="0.3" footer="0.3"/>
  <pageSetup paperSize="9" scale="49" fitToHeight="0" orientation="portrait" r:id="rId1"/>
  <rowBreaks count="1" manualBreakCount="1">
    <brk id="5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rgb="FFFFFF00"/>
    <pageSetUpPr fitToPage="1"/>
  </sheetPr>
  <dimension ref="A1:AG469"/>
  <sheetViews>
    <sheetView view="pageBreakPreview" zoomScale="57" zoomScaleNormal="100" zoomScaleSheetLayoutView="55" workbookViewId="0">
      <selection activeCell="L28" sqref="L28"/>
    </sheetView>
  </sheetViews>
  <sheetFormatPr baseColWidth="10" defaultColWidth="9.1640625" defaultRowHeight="14"/>
  <cols>
    <col min="1" max="1" width="7.83203125" style="119" customWidth="1"/>
    <col min="2" max="2" width="6.5" style="119" customWidth="1"/>
    <col min="3" max="3" width="18.5" style="119" bestFit="1" customWidth="1"/>
    <col min="4" max="4" width="11.83203125" style="125" customWidth="1"/>
    <col min="5" max="14" width="11.83203125" style="119" customWidth="1"/>
    <col min="15" max="18" width="5.83203125" style="119" customWidth="1"/>
    <col min="19" max="19" width="8.83203125" style="119" customWidth="1"/>
    <col min="20" max="20" width="9.83203125" style="119" customWidth="1"/>
    <col min="21" max="26" width="5.83203125" style="119" customWidth="1"/>
    <col min="27" max="27" width="6.83203125" style="119" customWidth="1"/>
    <col min="28" max="28" width="15.83203125" style="119" customWidth="1"/>
    <col min="29" max="29" width="12.83203125" style="119" customWidth="1"/>
    <col min="30" max="30" width="10.83203125" style="119" customWidth="1"/>
    <col min="31" max="31" width="4.83203125" style="119" customWidth="1"/>
    <col min="32" max="51" width="9.1640625" style="119"/>
    <col min="52" max="52" width="26.1640625" style="119" customWidth="1"/>
    <col min="53" max="16384" width="9.1640625" style="119"/>
  </cols>
  <sheetData>
    <row r="1" spans="1:32" ht="20.25" customHeight="1">
      <c r="A1" s="901"/>
      <c r="B1" s="902"/>
      <c r="C1" s="902"/>
      <c r="D1" s="904" t="str">
        <f>TOC!E1</f>
        <v>PERTAMINA EP</v>
      </c>
      <c r="E1" s="905"/>
      <c r="F1" s="905"/>
      <c r="G1" s="905"/>
      <c r="H1" s="905"/>
      <c r="I1" s="905"/>
      <c r="J1" s="905"/>
      <c r="K1" s="905"/>
      <c r="L1" s="905"/>
      <c r="M1" s="905"/>
      <c r="N1" s="905"/>
      <c r="O1" s="905"/>
      <c r="P1" s="906"/>
      <c r="Q1" s="117"/>
      <c r="R1" s="117"/>
      <c r="S1" s="117"/>
      <c r="T1" s="117"/>
      <c r="U1" s="117"/>
      <c r="V1" s="117"/>
      <c r="W1" s="117"/>
      <c r="X1" s="117"/>
      <c r="Y1" s="117"/>
      <c r="Z1" s="117"/>
      <c r="AA1" s="117"/>
      <c r="AB1" s="117"/>
      <c r="AC1" s="117"/>
      <c r="AD1" s="117"/>
      <c r="AE1" s="117"/>
      <c r="AF1" s="118"/>
    </row>
    <row r="2" spans="1:32" ht="20.25" customHeight="1">
      <c r="A2" s="910"/>
      <c r="B2" s="911"/>
      <c r="C2" s="911"/>
      <c r="D2" s="954"/>
      <c r="E2" s="955"/>
      <c r="F2" s="955"/>
      <c r="G2" s="955"/>
      <c r="H2" s="955"/>
      <c r="I2" s="955"/>
      <c r="J2" s="955"/>
      <c r="K2" s="955"/>
      <c r="L2" s="955"/>
      <c r="M2" s="955"/>
      <c r="N2" s="955"/>
      <c r="O2" s="955"/>
      <c r="P2" s="956"/>
      <c r="Q2" s="117"/>
      <c r="R2" s="117"/>
      <c r="S2" s="117"/>
      <c r="T2" s="117"/>
      <c r="U2" s="117"/>
      <c r="V2" s="117"/>
      <c r="W2" s="117"/>
      <c r="X2" s="117"/>
      <c r="Y2" s="117"/>
      <c r="Z2" s="117"/>
      <c r="AA2" s="117"/>
      <c r="AB2" s="117"/>
      <c r="AC2" s="117"/>
      <c r="AD2" s="117"/>
      <c r="AE2" s="117"/>
      <c r="AF2" s="120"/>
    </row>
    <row r="3" spans="1:32" ht="20.25" customHeight="1">
      <c r="A3" s="913"/>
      <c r="B3" s="914"/>
      <c r="C3" s="914"/>
      <c r="D3" s="36" t="s">
        <v>48</v>
      </c>
      <c r="E3" s="121"/>
      <c r="F3" s="121"/>
      <c r="G3" s="121"/>
      <c r="H3" s="121"/>
      <c r="I3" s="121"/>
      <c r="J3" s="121"/>
      <c r="K3" s="122"/>
      <c r="L3" s="38" t="s">
        <v>49</v>
      </c>
      <c r="M3" s="123"/>
      <c r="N3" s="123"/>
      <c r="O3" s="123"/>
      <c r="P3" s="124"/>
      <c r="Q3" s="125"/>
      <c r="R3" s="125"/>
      <c r="S3" s="125"/>
      <c r="T3" s="125"/>
      <c r="U3" s="125"/>
      <c r="V3" s="125"/>
      <c r="W3" s="125"/>
      <c r="X3" s="125"/>
      <c r="Y3" s="125"/>
      <c r="Z3" s="125"/>
      <c r="AA3" s="125"/>
      <c r="AB3" s="125"/>
      <c r="AC3" s="126"/>
      <c r="AD3" s="126"/>
      <c r="AE3" s="126"/>
      <c r="AF3" s="120"/>
    </row>
    <row r="4" spans="1:32" s="132" customFormat="1" ht="20.25" customHeight="1">
      <c r="A4" s="916"/>
      <c r="B4" s="917"/>
      <c r="C4" s="917"/>
      <c r="D4" s="40" t="str">
        <f>'Cover Report'!Z1</f>
        <v>Integrated Management Dashboard Production &amp; Project Zona 13</v>
      </c>
      <c r="E4" s="127"/>
      <c r="F4" s="127"/>
      <c r="G4" s="127"/>
      <c r="H4" s="127"/>
      <c r="I4" s="127"/>
      <c r="J4" s="127"/>
      <c r="K4" s="128"/>
      <c r="L4" s="40" t="str">
        <f>'Cover Report'!Z5</f>
        <v>W2026I-DNGF-EM-100-PRG-WLY-0012</v>
      </c>
      <c r="M4" s="129"/>
      <c r="N4" s="129"/>
      <c r="O4" s="129"/>
      <c r="P4" s="130"/>
      <c r="Q4" s="125"/>
      <c r="R4" s="125"/>
      <c r="S4" s="125"/>
      <c r="T4" s="125"/>
      <c r="U4" s="125"/>
      <c r="V4" s="125"/>
      <c r="W4" s="125"/>
      <c r="X4" s="125"/>
      <c r="Y4" s="125"/>
      <c r="Z4" s="125"/>
      <c r="AA4" s="125"/>
      <c r="AB4" s="125"/>
      <c r="AC4" s="126"/>
      <c r="AD4" s="126"/>
      <c r="AE4" s="126"/>
      <c r="AF4" s="131"/>
    </row>
    <row r="5" spans="1:32" ht="20.25" customHeight="1">
      <c r="A5" s="910"/>
      <c r="B5" s="911"/>
      <c r="C5" s="911"/>
      <c r="D5" s="38" t="s">
        <v>50</v>
      </c>
      <c r="E5" s="133"/>
      <c r="F5" s="133"/>
      <c r="G5" s="133"/>
      <c r="H5" s="133"/>
      <c r="I5" s="133"/>
      <c r="J5" s="133"/>
      <c r="K5" s="134"/>
      <c r="L5" s="919" t="s">
        <v>84</v>
      </c>
      <c r="M5" s="920"/>
      <c r="N5" s="920"/>
      <c r="O5" s="920"/>
      <c r="P5" s="921"/>
      <c r="Q5" s="135"/>
      <c r="R5" s="135"/>
      <c r="S5" s="135"/>
      <c r="T5" s="135"/>
      <c r="U5" s="135"/>
      <c r="V5" s="135"/>
      <c r="W5" s="135"/>
      <c r="X5" s="135"/>
      <c r="Y5" s="135"/>
      <c r="Z5" s="135"/>
      <c r="AA5" s="135"/>
      <c r="AB5" s="135"/>
      <c r="AC5" s="135"/>
      <c r="AD5" s="135"/>
      <c r="AE5" s="135"/>
      <c r="AF5" s="120"/>
    </row>
    <row r="6" spans="1:32" ht="20.25" customHeight="1">
      <c r="A6" s="925"/>
      <c r="B6" s="926"/>
      <c r="C6" s="926"/>
      <c r="D6" s="40" t="str">
        <f>TOC!E6</f>
        <v xml:space="preserve">Weekly Report </v>
      </c>
      <c r="E6" s="136"/>
      <c r="F6" s="136"/>
      <c r="G6" s="136"/>
      <c r="H6" s="136"/>
      <c r="I6" s="136"/>
      <c r="J6" s="136"/>
      <c r="K6" s="137"/>
      <c r="L6" s="922"/>
      <c r="M6" s="923"/>
      <c r="N6" s="923"/>
      <c r="O6" s="923"/>
      <c r="P6" s="924"/>
      <c r="Q6" s="135"/>
      <c r="R6" s="135"/>
      <c r="S6" s="135"/>
      <c r="T6" s="135"/>
      <c r="U6" s="135"/>
      <c r="V6" s="135"/>
      <c r="W6" s="135"/>
      <c r="X6" s="135"/>
      <c r="Y6" s="135"/>
      <c r="Z6" s="135"/>
      <c r="AA6" s="135"/>
      <c r="AB6" s="135"/>
      <c r="AC6" s="135"/>
      <c r="AD6" s="135"/>
      <c r="AE6" s="135"/>
      <c r="AF6" s="120"/>
    </row>
    <row r="7" spans="1:32" ht="13" customHeight="1">
      <c r="A7" s="49"/>
      <c r="B7" s="50"/>
      <c r="C7" s="50"/>
      <c r="D7" s="50"/>
      <c r="E7" s="50"/>
      <c r="F7" s="50"/>
      <c r="G7" s="50"/>
      <c r="H7" s="51"/>
      <c r="I7" s="51"/>
      <c r="J7" s="51"/>
      <c r="K7" s="51"/>
      <c r="L7" s="51"/>
      <c r="M7" s="51"/>
      <c r="N7" s="51"/>
      <c r="O7" s="51"/>
      <c r="P7" s="138"/>
      <c r="Q7" s="125"/>
      <c r="R7" s="125"/>
      <c r="S7" s="125"/>
      <c r="T7" s="125"/>
      <c r="U7" s="125"/>
      <c r="V7" s="125"/>
      <c r="W7" s="125"/>
      <c r="X7" s="125"/>
      <c r="Y7" s="125"/>
      <c r="Z7" s="125"/>
      <c r="AA7" s="125"/>
      <c r="AB7" s="125"/>
      <c r="AC7" s="139"/>
      <c r="AD7" s="139"/>
      <c r="AE7" s="139"/>
      <c r="AF7" s="120"/>
    </row>
    <row r="8" spans="1:32" ht="20.25" customHeight="1">
      <c r="A8" s="52"/>
      <c r="B8" s="53"/>
      <c r="C8" s="53"/>
      <c r="D8" s="53"/>
      <c r="E8" s="53"/>
      <c r="F8" s="53"/>
      <c r="G8" s="53"/>
      <c r="H8" s="53"/>
      <c r="I8" s="53"/>
      <c r="J8" s="53"/>
      <c r="K8" s="53"/>
      <c r="L8" s="53"/>
      <c r="M8" s="53"/>
      <c r="N8" s="53"/>
      <c r="O8" s="53"/>
      <c r="P8" s="54"/>
      <c r="Q8" s="53"/>
      <c r="R8" s="53"/>
      <c r="S8" s="53"/>
      <c r="T8" s="53"/>
      <c r="U8" s="53"/>
      <c r="V8" s="53"/>
      <c r="W8" s="53"/>
      <c r="X8" s="53"/>
      <c r="Y8" s="53"/>
      <c r="Z8" s="53"/>
      <c r="AA8" s="53"/>
      <c r="AB8" s="53"/>
      <c r="AC8" s="53"/>
      <c r="AD8" s="53"/>
      <c r="AE8" s="53"/>
      <c r="AF8" s="118"/>
    </row>
    <row r="9" spans="1:32" ht="29.25" customHeight="1">
      <c r="A9" s="101"/>
      <c r="B9" s="102"/>
      <c r="C9" s="102"/>
      <c r="D9" s="102"/>
      <c r="E9" s="102"/>
      <c r="F9" s="102"/>
      <c r="G9" s="102"/>
      <c r="H9" s="102"/>
      <c r="I9" s="102"/>
      <c r="J9" s="102"/>
      <c r="K9" s="102"/>
      <c r="L9" s="102"/>
      <c r="M9" s="102"/>
      <c r="N9" s="102"/>
      <c r="O9" s="102"/>
      <c r="P9" s="103"/>
      <c r="Q9" s="102"/>
      <c r="R9" s="102"/>
      <c r="S9" s="102"/>
      <c r="T9" s="102"/>
      <c r="U9" s="102"/>
      <c r="V9" s="102"/>
      <c r="W9" s="102"/>
      <c r="X9" s="102"/>
      <c r="Y9" s="102"/>
      <c r="Z9" s="102"/>
      <c r="AA9" s="102"/>
      <c r="AB9" s="102"/>
      <c r="AC9" s="102"/>
      <c r="AD9" s="102"/>
      <c r="AE9" s="102"/>
      <c r="AF9" s="118"/>
    </row>
    <row r="10" spans="1:32" ht="30" customHeight="1">
      <c r="A10" s="140"/>
      <c r="B10" s="141"/>
      <c r="C10" s="141"/>
      <c r="D10" s="141"/>
      <c r="E10" s="141"/>
      <c r="F10" s="141"/>
      <c r="G10" s="141"/>
      <c r="H10" s="141"/>
      <c r="I10" s="141"/>
      <c r="J10" s="141"/>
      <c r="K10" s="141"/>
      <c r="L10" s="141"/>
      <c r="M10" s="141"/>
      <c r="N10" s="141"/>
      <c r="O10" s="141"/>
      <c r="P10" s="142"/>
      <c r="Q10" s="143"/>
      <c r="R10" s="143"/>
      <c r="S10" s="143"/>
      <c r="T10" s="143"/>
      <c r="U10" s="143"/>
      <c r="V10" s="143"/>
      <c r="W10" s="143"/>
      <c r="X10" s="143"/>
      <c r="Y10" s="143"/>
      <c r="Z10" s="143"/>
      <c r="AA10" s="143"/>
      <c r="AB10" s="143"/>
      <c r="AC10" s="143"/>
      <c r="AD10" s="143"/>
      <c r="AE10" s="143"/>
      <c r="AF10" s="118"/>
    </row>
    <row r="11" spans="1:32" ht="20.25" customHeight="1">
      <c r="A11" s="144"/>
      <c r="B11" s="145"/>
      <c r="C11" s="145"/>
      <c r="D11" s="145"/>
      <c r="E11" s="145"/>
      <c r="F11" s="145"/>
      <c r="G11" s="145"/>
      <c r="H11" s="145"/>
      <c r="I11" s="145"/>
      <c r="J11" s="145"/>
      <c r="K11" s="145"/>
      <c r="L11" s="145"/>
      <c r="M11" s="145"/>
      <c r="N11" s="145"/>
      <c r="O11" s="145"/>
      <c r="P11" s="146"/>
      <c r="Q11" s="147"/>
      <c r="R11" s="147"/>
      <c r="S11" s="147"/>
      <c r="T11" s="147"/>
      <c r="U11" s="147"/>
      <c r="V11" s="147"/>
      <c r="W11" s="147"/>
      <c r="X11" s="147"/>
      <c r="Y11" s="147"/>
      <c r="Z11" s="147"/>
      <c r="AA11" s="147"/>
      <c r="AB11" s="147"/>
      <c r="AC11" s="147"/>
      <c r="AD11" s="147"/>
      <c r="AE11" s="147"/>
      <c r="AF11" s="118"/>
    </row>
    <row r="12" spans="1:32" ht="25" customHeight="1">
      <c r="A12" s="148"/>
      <c r="B12" s="117"/>
      <c r="C12" s="117"/>
      <c r="D12" s="117"/>
      <c r="E12" s="117"/>
      <c r="F12" s="117"/>
      <c r="G12" s="117"/>
      <c r="H12" s="117"/>
      <c r="I12" s="117"/>
      <c r="J12" s="117"/>
      <c r="K12" s="117"/>
      <c r="L12" s="117"/>
      <c r="M12" s="117"/>
      <c r="N12" s="117"/>
      <c r="O12" s="117"/>
      <c r="P12" s="149"/>
      <c r="Q12" s="117"/>
      <c r="R12" s="117"/>
      <c r="S12" s="117"/>
      <c r="T12" s="117"/>
      <c r="U12" s="117"/>
      <c r="V12" s="117"/>
      <c r="W12" s="117"/>
      <c r="X12" s="117"/>
      <c r="Y12" s="117"/>
      <c r="Z12" s="117"/>
      <c r="AA12" s="117"/>
      <c r="AB12" s="117"/>
      <c r="AC12" s="117"/>
      <c r="AD12" s="117"/>
      <c r="AE12" s="117"/>
      <c r="AF12" s="118"/>
    </row>
    <row r="13" spans="1:32" ht="20.25" customHeight="1">
      <c r="A13" s="58"/>
      <c r="B13" s="59"/>
      <c r="C13" s="73"/>
      <c r="D13" s="73"/>
      <c r="E13" s="73"/>
      <c r="F13" s="73"/>
      <c r="G13" s="73"/>
      <c r="H13" s="73"/>
      <c r="I13" s="73"/>
      <c r="J13" s="73"/>
      <c r="K13" s="73"/>
      <c r="L13" s="73"/>
      <c r="M13" s="73"/>
      <c r="N13" s="73"/>
      <c r="O13" s="73"/>
      <c r="P13" s="150"/>
      <c r="Q13" s="73"/>
      <c r="R13" s="73"/>
      <c r="S13" s="73"/>
      <c r="T13" s="73"/>
      <c r="U13" s="73"/>
      <c r="V13" s="73"/>
      <c r="W13" s="73"/>
      <c r="X13" s="73"/>
      <c r="Y13" s="73"/>
      <c r="Z13" s="73"/>
      <c r="AA13" s="73"/>
      <c r="AB13" s="73"/>
      <c r="AC13" s="73"/>
      <c r="AD13" s="61"/>
      <c r="AE13" s="64"/>
      <c r="AF13" s="118"/>
    </row>
    <row r="14" spans="1:32" ht="20.25" customHeight="1">
      <c r="A14" s="58"/>
      <c r="B14" s="104"/>
      <c r="C14" s="73"/>
      <c r="D14" s="73"/>
      <c r="E14" s="73"/>
      <c r="F14" s="73"/>
      <c r="G14" s="73"/>
      <c r="H14" s="73"/>
      <c r="I14" s="73"/>
      <c r="J14" s="73"/>
      <c r="K14" s="73"/>
      <c r="L14" s="73"/>
      <c r="M14" s="73"/>
      <c r="N14" s="73"/>
      <c r="O14" s="73"/>
      <c r="P14" s="150"/>
      <c r="Q14" s="73"/>
      <c r="R14" s="73"/>
      <c r="S14" s="73"/>
      <c r="T14" s="73"/>
      <c r="U14" s="73"/>
      <c r="V14" s="73"/>
      <c r="W14" s="73"/>
      <c r="X14" s="73"/>
      <c r="Y14" s="73"/>
      <c r="Z14" s="73"/>
      <c r="AA14" s="73"/>
      <c r="AB14" s="73"/>
      <c r="AC14" s="73"/>
      <c r="AD14" s="61"/>
      <c r="AE14" s="64"/>
      <c r="AF14" s="118"/>
    </row>
    <row r="15" spans="1:32" ht="30" customHeight="1">
      <c r="A15" s="67"/>
      <c r="B15" s="99"/>
      <c r="C15" s="100"/>
      <c r="D15" s="99"/>
      <c r="E15" s="100"/>
      <c r="F15" s="100"/>
      <c r="G15" s="100"/>
      <c r="H15" s="99"/>
      <c r="I15" s="99"/>
      <c r="J15" s="99"/>
      <c r="K15" s="100"/>
      <c r="L15" s="100"/>
      <c r="M15" s="100"/>
      <c r="N15" s="100"/>
      <c r="O15" s="64"/>
      <c r="P15" s="62"/>
      <c r="Q15" s="64"/>
      <c r="R15" s="64"/>
      <c r="S15" s="64"/>
      <c r="T15" s="64"/>
      <c r="U15" s="64"/>
      <c r="V15" s="64"/>
      <c r="W15" s="64"/>
      <c r="X15" s="64"/>
      <c r="Y15" s="64"/>
      <c r="Z15" s="64"/>
      <c r="AA15" s="64"/>
      <c r="AB15" s="64"/>
      <c r="AC15" s="64"/>
      <c r="AD15" s="64"/>
      <c r="AE15" s="64"/>
      <c r="AF15" s="118"/>
    </row>
    <row r="16" spans="1:32" ht="30" customHeight="1">
      <c r="A16" s="67"/>
      <c r="B16" s="99"/>
      <c r="C16" s="100"/>
      <c r="D16" s="99"/>
      <c r="E16" s="151"/>
      <c r="F16" s="151"/>
      <c r="G16" s="151"/>
      <c r="H16" s="151"/>
      <c r="I16" s="151"/>
      <c r="J16" s="151"/>
      <c r="K16" s="151"/>
      <c r="L16" s="151"/>
      <c r="M16" s="151"/>
      <c r="N16" s="100"/>
      <c r="O16" s="64"/>
      <c r="P16" s="62"/>
      <c r="Q16" s="64"/>
      <c r="R16" s="64"/>
      <c r="S16" s="64"/>
      <c r="T16" s="64"/>
      <c r="U16" s="64"/>
      <c r="V16" s="64"/>
      <c r="W16" s="64"/>
      <c r="X16" s="64"/>
      <c r="Y16" s="64"/>
      <c r="Z16" s="64"/>
      <c r="AA16" s="64"/>
      <c r="AB16" s="64"/>
      <c r="AC16" s="64"/>
      <c r="AD16" s="64"/>
      <c r="AE16" s="64"/>
      <c r="AF16" s="118"/>
    </row>
    <row r="17" spans="1:32" ht="15" customHeight="1">
      <c r="A17" s="67"/>
      <c r="B17" s="151"/>
      <c r="C17" s="152"/>
      <c r="D17" s="151"/>
      <c r="E17" s="151"/>
      <c r="F17" s="151"/>
      <c r="G17" s="151"/>
      <c r="H17" s="151"/>
      <c r="I17" s="151"/>
      <c r="J17" s="151"/>
      <c r="K17" s="151"/>
      <c r="L17" s="151"/>
      <c r="M17" s="151"/>
      <c r="N17" s="153"/>
      <c r="O17" s="102"/>
      <c r="P17" s="103"/>
      <c r="Q17" s="102"/>
      <c r="R17" s="102"/>
      <c r="S17" s="102"/>
      <c r="T17" s="100"/>
      <c r="U17" s="100"/>
      <c r="V17" s="100"/>
      <c r="W17" s="100"/>
      <c r="X17" s="100"/>
      <c r="Y17" s="100"/>
      <c r="Z17" s="100"/>
      <c r="AA17" s="100"/>
      <c r="AB17" s="100"/>
      <c r="AC17" s="74"/>
      <c r="AD17" s="64"/>
      <c r="AE17" s="64"/>
      <c r="AF17" s="118"/>
    </row>
    <row r="18" spans="1:32" ht="30" customHeight="1">
      <c r="A18" s="67"/>
      <c r="B18" s="114"/>
      <c r="C18" s="154"/>
      <c r="D18" s="155"/>
      <c r="E18" s="156"/>
      <c r="F18" s="156"/>
      <c r="G18" s="156"/>
      <c r="H18" s="156"/>
      <c r="I18" s="156"/>
      <c r="J18" s="156"/>
      <c r="K18" s="156"/>
      <c r="L18" s="156"/>
      <c r="M18" s="156"/>
      <c r="N18" s="157"/>
      <c r="O18" s="74"/>
      <c r="P18" s="75"/>
      <c r="Q18" s="74"/>
      <c r="R18" s="74"/>
      <c r="S18" s="74"/>
      <c r="T18" s="74"/>
      <c r="U18" s="74"/>
      <c r="V18" s="74"/>
      <c r="W18" s="74"/>
      <c r="X18" s="74"/>
      <c r="Y18" s="74"/>
      <c r="Z18" s="74"/>
      <c r="AA18" s="74"/>
      <c r="AB18" s="74"/>
      <c r="AC18" s="74"/>
      <c r="AD18" s="64"/>
      <c r="AE18" s="64"/>
      <c r="AF18" s="118"/>
    </row>
    <row r="19" spans="1:32" ht="30" customHeight="1">
      <c r="A19" s="68"/>
      <c r="B19" s="114"/>
      <c r="C19" s="154"/>
      <c r="D19" s="155"/>
      <c r="E19" s="156"/>
      <c r="F19" s="156"/>
      <c r="G19" s="156"/>
      <c r="H19" s="156"/>
      <c r="I19" s="156"/>
      <c r="J19" s="156"/>
      <c r="K19" s="156"/>
      <c r="L19" s="156"/>
      <c r="M19" s="156"/>
      <c r="N19" s="157"/>
      <c r="O19" s="74"/>
      <c r="P19" s="75"/>
      <c r="Q19" s="74"/>
      <c r="R19" s="74"/>
      <c r="S19" s="74"/>
      <c r="T19" s="158"/>
      <c r="U19" s="158"/>
      <c r="V19" s="158"/>
      <c r="W19" s="159"/>
      <c r="X19" s="159"/>
      <c r="Y19" s="159"/>
      <c r="Z19" s="159"/>
      <c r="AA19" s="158"/>
      <c r="AB19" s="74"/>
      <c r="AC19" s="74"/>
      <c r="AD19" s="69"/>
      <c r="AE19" s="69"/>
      <c r="AF19" s="118"/>
    </row>
    <row r="20" spans="1:32" ht="15" customHeight="1">
      <c r="A20" s="106"/>
      <c r="B20" s="76"/>
      <c r="C20" s="76"/>
      <c r="D20" s="76"/>
      <c r="E20" s="76"/>
      <c r="F20" s="76"/>
      <c r="G20" s="76"/>
      <c r="H20" s="76"/>
      <c r="I20" s="76"/>
      <c r="J20" s="76"/>
      <c r="K20" s="76"/>
      <c r="L20" s="76"/>
      <c r="M20" s="76"/>
      <c r="N20" s="76"/>
      <c r="O20" s="76"/>
      <c r="P20" s="160"/>
      <c r="Q20" s="76"/>
      <c r="R20" s="76"/>
      <c r="S20" s="76"/>
      <c r="T20" s="76"/>
      <c r="U20" s="74"/>
      <c r="V20" s="74"/>
      <c r="W20" s="74"/>
      <c r="X20" s="74"/>
      <c r="Y20" s="74"/>
      <c r="Z20" s="74"/>
      <c r="AA20" s="100"/>
      <c r="AB20" s="161"/>
      <c r="AC20" s="69"/>
      <c r="AD20" s="79"/>
      <c r="AE20" s="79"/>
      <c r="AF20" s="118"/>
    </row>
    <row r="21" spans="1:32" ht="15" customHeight="1">
      <c r="A21" s="106"/>
      <c r="B21" s="76"/>
      <c r="C21" s="76"/>
      <c r="D21" s="76"/>
      <c r="E21" s="76"/>
      <c r="F21" s="76"/>
      <c r="G21" s="76"/>
      <c r="H21" s="76"/>
      <c r="I21" s="76"/>
      <c r="J21" s="76"/>
      <c r="K21" s="76"/>
      <c r="L21" s="76"/>
      <c r="M21" s="76"/>
      <c r="N21" s="76"/>
      <c r="O21" s="76"/>
      <c r="P21" s="160"/>
      <c r="Q21" s="76"/>
      <c r="R21" s="76"/>
      <c r="S21" s="76"/>
      <c r="T21" s="76"/>
      <c r="U21" s="74"/>
      <c r="V21" s="74"/>
      <c r="W21" s="74"/>
      <c r="X21" s="74"/>
      <c r="Y21" s="74"/>
      <c r="Z21" s="74"/>
      <c r="AA21" s="100"/>
      <c r="AB21" s="161"/>
      <c r="AC21" s="69"/>
      <c r="AD21" s="74"/>
      <c r="AE21" s="74"/>
      <c r="AF21" s="118"/>
    </row>
    <row r="22" spans="1:32" ht="15" customHeight="1">
      <c r="A22" s="106"/>
      <c r="B22" s="76"/>
      <c r="C22" s="76"/>
      <c r="D22" s="76"/>
      <c r="E22" s="76"/>
      <c r="F22" s="76"/>
      <c r="G22" s="76"/>
      <c r="H22" s="76"/>
      <c r="I22" s="76"/>
      <c r="J22" s="76"/>
      <c r="K22" s="76"/>
      <c r="L22" s="76"/>
      <c r="M22" s="76"/>
      <c r="N22" s="76"/>
      <c r="O22" s="76"/>
      <c r="P22" s="160"/>
      <c r="Q22" s="76"/>
      <c r="R22" s="76"/>
      <c r="S22" s="76"/>
      <c r="T22" s="76"/>
      <c r="U22" s="74"/>
      <c r="V22" s="74"/>
      <c r="W22" s="74"/>
      <c r="X22" s="74"/>
      <c r="Y22" s="74"/>
      <c r="Z22" s="74"/>
      <c r="AA22" s="100"/>
      <c r="AB22" s="161"/>
      <c r="AC22" s="69"/>
      <c r="AD22" s="79"/>
      <c r="AE22" s="79"/>
      <c r="AF22" s="118"/>
    </row>
    <row r="23" spans="1:32" ht="30" customHeight="1">
      <c r="A23" s="72"/>
      <c r="B23" s="114"/>
      <c r="C23" s="154"/>
      <c r="D23" s="155"/>
      <c r="E23" s="156"/>
      <c r="F23" s="156"/>
      <c r="G23" s="156"/>
      <c r="H23" s="156"/>
      <c r="I23" s="156"/>
      <c r="J23" s="156"/>
      <c r="K23" s="156"/>
      <c r="L23" s="156"/>
      <c r="M23" s="156"/>
      <c r="N23" s="157"/>
      <c r="O23" s="162"/>
      <c r="P23" s="163"/>
      <c r="Q23" s="162"/>
      <c r="R23" s="162"/>
      <c r="S23" s="74"/>
      <c r="T23" s="158"/>
      <c r="U23" s="158"/>
      <c r="V23" s="158"/>
      <c r="W23" s="158"/>
      <c r="X23" s="158"/>
      <c r="Y23" s="158"/>
      <c r="Z23" s="158"/>
      <c r="AA23" s="158"/>
      <c r="AB23" s="74"/>
      <c r="AC23" s="74"/>
      <c r="AD23" s="74"/>
      <c r="AE23" s="74"/>
      <c r="AF23" s="118"/>
    </row>
    <row r="24" spans="1:32" ht="30" customHeight="1">
      <c r="A24" s="106"/>
      <c r="B24" s="114"/>
      <c r="C24" s="154"/>
      <c r="D24" s="155"/>
      <c r="E24" s="156"/>
      <c r="F24" s="156"/>
      <c r="G24" s="156"/>
      <c r="H24" s="156"/>
      <c r="I24" s="156"/>
      <c r="J24" s="156"/>
      <c r="K24" s="156"/>
      <c r="L24" s="156"/>
      <c r="M24" s="156"/>
      <c r="N24" s="157"/>
      <c r="O24" s="74"/>
      <c r="P24" s="75"/>
      <c r="Q24" s="74"/>
      <c r="R24" s="74"/>
      <c r="S24" s="74"/>
      <c r="T24" s="74"/>
      <c r="U24" s="74"/>
      <c r="V24" s="74"/>
      <c r="W24" s="74"/>
      <c r="X24" s="74"/>
      <c r="Y24" s="74"/>
      <c r="Z24" s="74"/>
      <c r="AA24" s="100"/>
      <c r="AB24" s="161"/>
      <c r="AC24" s="69"/>
      <c r="AD24" s="69"/>
      <c r="AE24" s="69"/>
      <c r="AF24" s="118"/>
    </row>
    <row r="25" spans="1:32" ht="30" customHeight="1">
      <c r="A25" s="77"/>
      <c r="B25" s="114"/>
      <c r="C25" s="154"/>
      <c r="D25" s="155"/>
      <c r="E25" s="156"/>
      <c r="F25" s="156"/>
      <c r="G25" s="156"/>
      <c r="H25" s="156"/>
      <c r="I25" s="156"/>
      <c r="J25" s="156"/>
      <c r="K25" s="156"/>
      <c r="L25" s="156"/>
      <c r="M25" s="156"/>
      <c r="N25" s="157"/>
      <c r="O25" s="74"/>
      <c r="P25" s="75"/>
      <c r="Q25" s="74"/>
      <c r="R25" s="74"/>
      <c r="S25" s="74"/>
      <c r="T25" s="74"/>
      <c r="U25" s="74"/>
      <c r="V25" s="74"/>
      <c r="W25" s="74"/>
      <c r="X25" s="74"/>
      <c r="Y25" s="74"/>
      <c r="Z25" s="74"/>
      <c r="AA25" s="100"/>
      <c r="AB25" s="161"/>
      <c r="AC25" s="69"/>
      <c r="AD25" s="74"/>
      <c r="AE25" s="74"/>
      <c r="AF25" s="118"/>
    </row>
    <row r="26" spans="1:32" ht="15" customHeight="1">
      <c r="A26" s="78"/>
      <c r="B26" s="164"/>
      <c r="C26" s="157"/>
      <c r="D26" s="165"/>
      <c r="E26" s="166"/>
      <c r="F26" s="166"/>
      <c r="G26" s="166"/>
      <c r="H26" s="166"/>
      <c r="I26" s="166"/>
      <c r="J26" s="166"/>
      <c r="K26" s="166"/>
      <c r="L26" s="166"/>
      <c r="M26" s="166"/>
      <c r="N26" s="157"/>
      <c r="O26" s="74"/>
      <c r="P26" s="75"/>
      <c r="Q26" s="74"/>
      <c r="R26" s="74"/>
      <c r="S26" s="74"/>
      <c r="T26" s="74"/>
      <c r="U26" s="74"/>
      <c r="V26" s="74"/>
      <c r="W26" s="74"/>
      <c r="X26" s="74"/>
      <c r="Y26" s="74"/>
      <c r="Z26" s="74"/>
      <c r="AA26" s="100"/>
      <c r="AB26" s="161"/>
      <c r="AC26" s="69"/>
      <c r="AD26" s="79"/>
      <c r="AE26" s="79"/>
      <c r="AF26" s="118"/>
    </row>
    <row r="27" spans="1:32" ht="60" customHeight="1">
      <c r="A27" s="948" t="s">
        <v>89</v>
      </c>
      <c r="B27" s="949"/>
      <c r="C27" s="949"/>
      <c r="D27" s="949"/>
      <c r="E27" s="949"/>
      <c r="F27" s="949"/>
      <c r="G27" s="949"/>
      <c r="H27" s="949"/>
      <c r="I27" s="949"/>
      <c r="J27" s="949"/>
      <c r="K27" s="949"/>
      <c r="L27" s="949"/>
      <c r="M27" s="949"/>
      <c r="N27" s="949"/>
      <c r="O27" s="949"/>
      <c r="P27" s="950"/>
      <c r="Q27" s="74"/>
      <c r="R27" s="74"/>
      <c r="S27" s="74"/>
      <c r="T27" s="74"/>
      <c r="U27" s="74"/>
      <c r="V27" s="74"/>
      <c r="W27" s="74"/>
      <c r="X27" s="74"/>
      <c r="Y27" s="74"/>
      <c r="Z27" s="74"/>
      <c r="AA27" s="100"/>
      <c r="AB27" s="161"/>
      <c r="AC27" s="69"/>
      <c r="AD27" s="69"/>
      <c r="AE27" s="69"/>
      <c r="AF27" s="118"/>
    </row>
    <row r="28" spans="1:32" ht="30" customHeight="1">
      <c r="A28" s="167"/>
      <c r="B28" s="168"/>
      <c r="C28" s="169"/>
      <c r="D28" s="169"/>
      <c r="E28" s="169"/>
      <c r="F28" s="169"/>
      <c r="G28" s="169"/>
      <c r="H28" s="169"/>
      <c r="I28" s="169"/>
      <c r="J28" s="169"/>
      <c r="K28" s="169"/>
      <c r="L28" s="169"/>
      <c r="M28" s="169"/>
      <c r="N28" s="169"/>
      <c r="O28" s="170"/>
      <c r="P28" s="171"/>
      <c r="Q28" s="74"/>
      <c r="R28" s="74"/>
      <c r="S28" s="74"/>
      <c r="T28" s="74"/>
      <c r="U28" s="74"/>
      <c r="V28" s="74"/>
      <c r="W28" s="74"/>
      <c r="X28" s="74"/>
      <c r="Y28" s="74"/>
      <c r="Z28" s="74"/>
      <c r="AA28" s="100"/>
      <c r="AB28" s="161"/>
      <c r="AC28" s="69"/>
      <c r="AD28" s="74"/>
      <c r="AE28" s="74"/>
      <c r="AF28" s="118"/>
    </row>
    <row r="29" spans="1:32" ht="60" customHeight="1">
      <c r="A29" s="951" t="s">
        <v>88</v>
      </c>
      <c r="B29" s="952"/>
      <c r="C29" s="952"/>
      <c r="D29" s="952"/>
      <c r="E29" s="952"/>
      <c r="F29" s="952"/>
      <c r="G29" s="952"/>
      <c r="H29" s="952"/>
      <c r="I29" s="952"/>
      <c r="J29" s="952"/>
      <c r="K29" s="952"/>
      <c r="L29" s="952"/>
      <c r="M29" s="952"/>
      <c r="N29" s="952"/>
      <c r="O29" s="952"/>
      <c r="P29" s="953"/>
      <c r="Q29" s="74"/>
      <c r="R29" s="74"/>
      <c r="S29" s="74"/>
      <c r="T29" s="74"/>
      <c r="U29" s="74"/>
      <c r="V29" s="74"/>
      <c r="W29" s="74"/>
      <c r="X29" s="74"/>
      <c r="Y29" s="74"/>
      <c r="Z29" s="74"/>
      <c r="AA29" s="100"/>
      <c r="AB29" s="161"/>
      <c r="AC29" s="69"/>
      <c r="AD29" s="79"/>
      <c r="AE29" s="79"/>
      <c r="AF29" s="118"/>
    </row>
    <row r="30" spans="1:32" ht="15" customHeight="1">
      <c r="A30" s="106"/>
      <c r="B30" s="64"/>
      <c r="C30" s="64"/>
      <c r="D30" s="64"/>
      <c r="E30" s="64"/>
      <c r="F30" s="64"/>
      <c r="G30" s="64"/>
      <c r="H30" s="64"/>
      <c r="I30" s="64"/>
      <c r="J30" s="64"/>
      <c r="K30" s="64"/>
      <c r="L30" s="64"/>
      <c r="M30" s="64"/>
      <c r="N30" s="64"/>
      <c r="O30" s="74"/>
      <c r="P30" s="75"/>
      <c r="Q30" s="74"/>
      <c r="R30" s="74"/>
      <c r="S30" s="74"/>
      <c r="T30" s="74"/>
      <c r="U30" s="74"/>
      <c r="V30" s="74"/>
      <c r="W30" s="74"/>
      <c r="X30" s="74"/>
      <c r="Y30" s="74"/>
      <c r="Z30" s="74"/>
      <c r="AA30" s="100"/>
      <c r="AB30" s="161"/>
      <c r="AC30" s="69"/>
      <c r="AD30" s="69"/>
      <c r="AE30" s="69"/>
      <c r="AF30" s="118"/>
    </row>
    <row r="31" spans="1:32" ht="15" customHeight="1">
      <c r="A31" s="77"/>
      <c r="B31" s="105"/>
      <c r="C31" s="64"/>
      <c r="D31" s="64"/>
      <c r="E31" s="64"/>
      <c r="F31" s="64"/>
      <c r="G31" s="64"/>
      <c r="H31" s="64"/>
      <c r="I31" s="64"/>
      <c r="J31" s="64"/>
      <c r="K31" s="64"/>
      <c r="L31" s="64"/>
      <c r="M31" s="64"/>
      <c r="N31" s="64"/>
      <c r="O31" s="74"/>
      <c r="P31" s="75"/>
      <c r="Q31" s="74"/>
      <c r="R31" s="74"/>
      <c r="S31" s="74"/>
      <c r="T31" s="74"/>
      <c r="U31" s="74"/>
      <c r="V31" s="74"/>
      <c r="W31" s="74"/>
      <c r="X31" s="74"/>
      <c r="Y31" s="74"/>
      <c r="Z31" s="74"/>
      <c r="AA31" s="100"/>
      <c r="AB31" s="161"/>
      <c r="AC31" s="69"/>
      <c r="AD31" s="74"/>
      <c r="AE31" s="74"/>
      <c r="AF31" s="118"/>
    </row>
    <row r="32" spans="1:32" ht="15" customHeight="1">
      <c r="A32" s="78"/>
      <c r="B32" s="108"/>
      <c r="C32" s="74"/>
      <c r="D32" s="102"/>
      <c r="E32" s="102"/>
      <c r="F32" s="102"/>
      <c r="G32" s="102"/>
      <c r="H32" s="102"/>
      <c r="I32" s="102"/>
      <c r="J32" s="102"/>
      <c r="K32" s="102"/>
      <c r="L32" s="102"/>
      <c r="M32" s="102"/>
      <c r="N32" s="102"/>
      <c r="O32" s="74"/>
      <c r="P32" s="75"/>
      <c r="Q32" s="74"/>
      <c r="R32" s="74"/>
      <c r="S32" s="74"/>
      <c r="T32" s="74"/>
      <c r="U32" s="74"/>
      <c r="V32" s="74"/>
      <c r="W32" s="74"/>
      <c r="X32" s="74"/>
      <c r="Y32" s="74"/>
      <c r="Z32" s="74"/>
      <c r="AA32" s="100"/>
      <c r="AB32" s="161"/>
      <c r="AC32" s="69"/>
      <c r="AD32" s="79"/>
      <c r="AE32" s="79"/>
      <c r="AF32" s="118"/>
    </row>
    <row r="33" spans="1:32" ht="15" customHeight="1">
      <c r="A33" s="106"/>
      <c r="B33" s="76"/>
      <c r="C33" s="76"/>
      <c r="D33" s="76"/>
      <c r="E33" s="76"/>
      <c r="F33" s="76"/>
      <c r="G33" s="76"/>
      <c r="H33" s="76"/>
      <c r="I33" s="76"/>
      <c r="J33" s="76"/>
      <c r="K33" s="76"/>
      <c r="L33" s="76"/>
      <c r="M33" s="76"/>
      <c r="N33" s="76"/>
      <c r="O33" s="76"/>
      <c r="P33" s="160"/>
      <c r="Q33" s="76"/>
      <c r="R33" s="76"/>
      <c r="S33" s="76"/>
      <c r="T33" s="76"/>
      <c r="U33" s="74"/>
      <c r="V33" s="74"/>
      <c r="W33" s="74"/>
      <c r="X33" s="74"/>
      <c r="Y33" s="74"/>
      <c r="Z33" s="74"/>
      <c r="AA33" s="100"/>
      <c r="AB33" s="161"/>
      <c r="AC33" s="69"/>
      <c r="AD33" s="69"/>
      <c r="AE33" s="69"/>
      <c r="AF33" s="118"/>
    </row>
    <row r="34" spans="1:32" ht="15" customHeight="1">
      <c r="A34" s="106"/>
      <c r="B34" s="76"/>
      <c r="C34" s="76"/>
      <c r="D34" s="76"/>
      <c r="E34" s="76"/>
      <c r="F34" s="76"/>
      <c r="G34" s="76"/>
      <c r="H34" s="76"/>
      <c r="I34" s="76"/>
      <c r="J34" s="76"/>
      <c r="K34" s="76"/>
      <c r="L34" s="76"/>
      <c r="M34" s="76"/>
      <c r="N34" s="76"/>
      <c r="O34" s="76"/>
      <c r="P34" s="160"/>
      <c r="Q34" s="76"/>
      <c r="R34" s="76"/>
      <c r="S34" s="76"/>
      <c r="T34" s="76"/>
      <c r="U34" s="74"/>
      <c r="V34" s="74"/>
      <c r="W34" s="74"/>
      <c r="X34" s="74"/>
      <c r="Y34" s="74"/>
      <c r="Z34" s="74"/>
      <c r="AA34" s="100"/>
      <c r="AB34" s="161"/>
      <c r="AC34" s="69"/>
      <c r="AD34" s="74"/>
      <c r="AE34" s="74"/>
      <c r="AF34" s="118"/>
    </row>
    <row r="35" spans="1:32" ht="15" customHeight="1">
      <c r="A35" s="78"/>
      <c r="B35" s="108"/>
      <c r="C35" s="74"/>
      <c r="D35" s="102"/>
      <c r="E35" s="102"/>
      <c r="F35" s="102"/>
      <c r="G35" s="102"/>
      <c r="H35" s="102"/>
      <c r="I35" s="102"/>
      <c r="J35" s="102"/>
      <c r="K35" s="102"/>
      <c r="L35" s="102"/>
      <c r="M35" s="102"/>
      <c r="N35" s="102"/>
      <c r="O35" s="74"/>
      <c r="P35" s="75"/>
      <c r="Q35" s="74"/>
      <c r="R35" s="74"/>
      <c r="S35" s="74"/>
      <c r="T35" s="74"/>
      <c r="U35" s="74"/>
      <c r="V35" s="74"/>
      <c r="W35" s="74"/>
      <c r="X35" s="74"/>
      <c r="Y35" s="74"/>
      <c r="Z35" s="74"/>
      <c r="AA35" s="100"/>
      <c r="AB35" s="161"/>
      <c r="AC35" s="69"/>
      <c r="AD35" s="79"/>
      <c r="AE35" s="79"/>
      <c r="AF35" s="118"/>
    </row>
    <row r="36" spans="1:32" ht="15" customHeight="1">
      <c r="A36" s="106"/>
      <c r="B36" s="76"/>
      <c r="C36" s="76"/>
      <c r="D36" s="76"/>
      <c r="E36" s="76"/>
      <c r="F36" s="76"/>
      <c r="G36" s="76"/>
      <c r="H36" s="76"/>
      <c r="I36" s="76"/>
      <c r="J36" s="76"/>
      <c r="K36" s="76"/>
      <c r="L36" s="76"/>
      <c r="M36" s="76"/>
      <c r="N36" s="76"/>
      <c r="O36" s="76"/>
      <c r="P36" s="160"/>
      <c r="Q36" s="76"/>
      <c r="R36" s="76"/>
      <c r="S36" s="76"/>
      <c r="T36" s="76"/>
      <c r="U36" s="74"/>
      <c r="V36" s="74"/>
      <c r="W36" s="74"/>
      <c r="X36" s="74"/>
      <c r="Y36" s="74"/>
      <c r="Z36" s="74"/>
      <c r="AA36" s="100"/>
      <c r="AB36" s="161"/>
      <c r="AC36" s="69"/>
      <c r="AD36" s="79"/>
      <c r="AE36" s="79"/>
      <c r="AF36" s="118"/>
    </row>
    <row r="37" spans="1:32" ht="15" customHeight="1">
      <c r="A37" s="106"/>
      <c r="B37" s="76"/>
      <c r="C37" s="76"/>
      <c r="D37" s="76"/>
      <c r="E37" s="76"/>
      <c r="F37" s="76"/>
      <c r="G37" s="76"/>
      <c r="H37" s="76"/>
      <c r="I37" s="76"/>
      <c r="J37" s="76"/>
      <c r="K37" s="76"/>
      <c r="L37" s="76"/>
      <c r="M37" s="76"/>
      <c r="N37" s="76"/>
      <c r="O37" s="76"/>
      <c r="P37" s="160"/>
      <c r="Q37" s="76"/>
      <c r="R37" s="76"/>
      <c r="S37" s="76"/>
      <c r="T37" s="76"/>
      <c r="U37" s="74"/>
      <c r="V37" s="74"/>
      <c r="W37" s="74"/>
      <c r="X37" s="74"/>
      <c r="Y37" s="74"/>
      <c r="Z37" s="74"/>
      <c r="AA37" s="100"/>
      <c r="AB37" s="161"/>
      <c r="AC37" s="69"/>
      <c r="AD37" s="69"/>
      <c r="AE37" s="69"/>
      <c r="AF37" s="118"/>
    </row>
    <row r="38" spans="1:32" ht="15" customHeight="1">
      <c r="A38" s="106"/>
      <c r="B38" s="64"/>
      <c r="C38" s="64"/>
      <c r="D38" s="64"/>
      <c r="E38" s="64"/>
      <c r="F38" s="64"/>
      <c r="G38" s="64"/>
      <c r="H38" s="64"/>
      <c r="I38" s="64"/>
      <c r="J38" s="64"/>
      <c r="K38" s="64"/>
      <c r="L38" s="64"/>
      <c r="M38" s="64"/>
      <c r="N38" s="64"/>
      <c r="O38" s="74"/>
      <c r="P38" s="75"/>
      <c r="Q38" s="74"/>
      <c r="R38" s="74"/>
      <c r="S38" s="74"/>
      <c r="T38" s="74"/>
      <c r="U38" s="74"/>
      <c r="V38" s="74"/>
      <c r="W38" s="74"/>
      <c r="X38" s="74"/>
      <c r="Y38" s="74"/>
      <c r="Z38" s="74"/>
      <c r="AA38" s="100"/>
      <c r="AB38" s="161"/>
      <c r="AC38" s="69"/>
      <c r="AD38" s="69"/>
      <c r="AE38" s="69"/>
      <c r="AF38" s="118"/>
    </row>
    <row r="39" spans="1:32" ht="15" customHeight="1">
      <c r="A39" s="106"/>
      <c r="B39" s="76"/>
      <c r="C39" s="76"/>
      <c r="D39" s="76"/>
      <c r="E39" s="76"/>
      <c r="F39" s="76"/>
      <c r="G39" s="76"/>
      <c r="H39" s="76"/>
      <c r="I39" s="76"/>
      <c r="J39" s="76"/>
      <c r="K39" s="76"/>
      <c r="L39" s="76"/>
      <c r="M39" s="76"/>
      <c r="N39" s="76"/>
      <c r="O39" s="76"/>
      <c r="P39" s="160"/>
      <c r="Q39" s="76"/>
      <c r="R39" s="76"/>
      <c r="S39" s="76"/>
      <c r="T39" s="76"/>
      <c r="U39" s="74"/>
      <c r="V39" s="74"/>
      <c r="W39" s="74"/>
      <c r="X39" s="74"/>
      <c r="Y39" s="74"/>
      <c r="Z39" s="74"/>
      <c r="AA39" s="100"/>
      <c r="AB39" s="161"/>
      <c r="AC39" s="69"/>
      <c r="AD39" s="69"/>
      <c r="AE39" s="69"/>
      <c r="AF39" s="118"/>
    </row>
    <row r="40" spans="1:32" ht="15" customHeight="1">
      <c r="A40" s="106"/>
      <c r="B40" s="76"/>
      <c r="C40" s="76"/>
      <c r="D40" s="76"/>
      <c r="E40" s="76"/>
      <c r="F40" s="76"/>
      <c r="G40" s="76"/>
      <c r="H40" s="76"/>
      <c r="I40" s="76"/>
      <c r="J40" s="76"/>
      <c r="K40" s="76"/>
      <c r="L40" s="76"/>
      <c r="M40" s="76"/>
      <c r="N40" s="76"/>
      <c r="O40" s="76"/>
      <c r="P40" s="160"/>
      <c r="Q40" s="76"/>
      <c r="R40" s="76"/>
      <c r="S40" s="76"/>
      <c r="T40" s="76"/>
      <c r="U40" s="74"/>
      <c r="V40" s="74"/>
      <c r="W40" s="74"/>
      <c r="X40" s="74"/>
      <c r="Y40" s="74"/>
      <c r="Z40" s="74"/>
      <c r="AA40" s="100"/>
      <c r="AB40" s="161"/>
      <c r="AC40" s="69"/>
      <c r="AD40" s="74"/>
      <c r="AE40" s="74"/>
      <c r="AF40" s="118"/>
    </row>
    <row r="41" spans="1:32" ht="15" customHeight="1">
      <c r="A41" s="106"/>
      <c r="B41" s="76"/>
      <c r="C41" s="76"/>
      <c r="D41" s="76"/>
      <c r="E41" s="76"/>
      <c r="F41" s="76"/>
      <c r="G41" s="76"/>
      <c r="H41" s="76"/>
      <c r="I41" s="76"/>
      <c r="J41" s="76"/>
      <c r="K41" s="76"/>
      <c r="L41" s="76"/>
      <c r="M41" s="76"/>
      <c r="N41" s="76"/>
      <c r="O41" s="76"/>
      <c r="P41" s="160"/>
      <c r="Q41" s="76"/>
      <c r="R41" s="76"/>
      <c r="S41" s="76"/>
      <c r="T41" s="76"/>
      <c r="U41" s="74"/>
      <c r="V41" s="74"/>
      <c r="W41" s="74"/>
      <c r="X41" s="74"/>
      <c r="Y41" s="74"/>
      <c r="Z41" s="74"/>
      <c r="AA41" s="100"/>
      <c r="AB41" s="161"/>
      <c r="AC41" s="69"/>
      <c r="AD41" s="79"/>
      <c r="AE41" s="79"/>
      <c r="AF41" s="118"/>
    </row>
    <row r="42" spans="1:32" ht="15" customHeight="1">
      <c r="A42" s="106"/>
      <c r="B42" s="76"/>
      <c r="C42" s="76"/>
      <c r="D42" s="76"/>
      <c r="E42" s="76"/>
      <c r="F42" s="76"/>
      <c r="G42" s="76"/>
      <c r="H42" s="76"/>
      <c r="I42" s="76"/>
      <c r="J42" s="76"/>
      <c r="K42" s="76"/>
      <c r="L42" s="76"/>
      <c r="M42" s="76"/>
      <c r="N42" s="76"/>
      <c r="O42" s="76"/>
      <c r="P42" s="160"/>
      <c r="Q42" s="76"/>
      <c r="R42" s="76"/>
      <c r="S42" s="76"/>
      <c r="T42" s="76"/>
      <c r="U42" s="74"/>
      <c r="V42" s="74"/>
      <c r="W42" s="74"/>
      <c r="X42" s="74"/>
      <c r="Y42" s="74"/>
      <c r="Z42" s="74"/>
      <c r="AA42" s="100"/>
      <c r="AB42" s="161"/>
      <c r="AC42" s="69"/>
      <c r="AD42" s="74"/>
      <c r="AE42" s="74"/>
      <c r="AF42" s="118"/>
    </row>
    <row r="43" spans="1:32" ht="15" customHeight="1">
      <c r="A43" s="106"/>
      <c r="B43" s="76"/>
      <c r="C43" s="76"/>
      <c r="D43" s="76"/>
      <c r="E43" s="76"/>
      <c r="F43" s="76"/>
      <c r="G43" s="76"/>
      <c r="H43" s="76"/>
      <c r="I43" s="76"/>
      <c r="J43" s="76"/>
      <c r="K43" s="76"/>
      <c r="L43" s="76"/>
      <c r="M43" s="76"/>
      <c r="N43" s="76"/>
      <c r="O43" s="76"/>
      <c r="P43" s="160"/>
      <c r="Q43" s="76"/>
      <c r="R43" s="76"/>
      <c r="S43" s="76"/>
      <c r="T43" s="76"/>
      <c r="U43" s="74"/>
      <c r="V43" s="74"/>
      <c r="W43" s="74"/>
      <c r="X43" s="74"/>
      <c r="Y43" s="74"/>
      <c r="Z43" s="74"/>
      <c r="AA43" s="100"/>
      <c r="AB43" s="161"/>
      <c r="AC43" s="69"/>
      <c r="AD43" s="79"/>
      <c r="AE43" s="79"/>
      <c r="AF43" s="118"/>
    </row>
    <row r="44" spans="1:32" ht="15" customHeight="1">
      <c r="A44" s="106"/>
      <c r="B44" s="76"/>
      <c r="C44" s="76"/>
      <c r="D44" s="76"/>
      <c r="E44" s="76"/>
      <c r="F44" s="76"/>
      <c r="G44" s="76"/>
      <c r="H44" s="76"/>
      <c r="I44" s="76"/>
      <c r="J44" s="76"/>
      <c r="K44" s="76"/>
      <c r="L44" s="76"/>
      <c r="M44" s="76"/>
      <c r="N44" s="76"/>
      <c r="O44" s="76"/>
      <c r="P44" s="160"/>
      <c r="Q44" s="76"/>
      <c r="R44" s="76"/>
      <c r="S44" s="76"/>
      <c r="T44" s="76"/>
      <c r="U44" s="74"/>
      <c r="V44" s="74"/>
      <c r="W44" s="74"/>
      <c r="X44" s="74"/>
      <c r="Y44" s="74"/>
      <c r="Z44" s="74"/>
      <c r="AA44" s="100"/>
      <c r="AB44" s="161"/>
      <c r="AC44" s="69"/>
      <c r="AD44" s="79"/>
      <c r="AE44" s="79"/>
      <c r="AF44" s="118"/>
    </row>
    <row r="45" spans="1:32" ht="15" customHeight="1">
      <c r="A45" s="106"/>
      <c r="B45" s="76"/>
      <c r="C45" s="76"/>
      <c r="D45" s="76"/>
      <c r="E45" s="76"/>
      <c r="F45" s="76"/>
      <c r="G45" s="76"/>
      <c r="H45" s="76"/>
      <c r="I45" s="76"/>
      <c r="J45" s="76"/>
      <c r="K45" s="76"/>
      <c r="L45" s="76"/>
      <c r="M45" s="76"/>
      <c r="N45" s="76"/>
      <c r="O45" s="76"/>
      <c r="P45" s="160"/>
      <c r="Q45" s="76"/>
      <c r="R45" s="76"/>
      <c r="S45" s="76"/>
      <c r="T45" s="76"/>
      <c r="U45" s="74"/>
      <c r="V45" s="74"/>
      <c r="W45" s="74"/>
      <c r="X45" s="74"/>
      <c r="Y45" s="74"/>
      <c r="Z45" s="74"/>
      <c r="AA45" s="100"/>
      <c r="AB45" s="161"/>
      <c r="AC45" s="69"/>
      <c r="AD45" s="79"/>
      <c r="AE45" s="79"/>
      <c r="AF45" s="118"/>
    </row>
    <row r="46" spans="1:32" ht="15" customHeight="1">
      <c r="A46" s="106"/>
      <c r="B46" s="76"/>
      <c r="C46" s="76"/>
      <c r="D46" s="76"/>
      <c r="E46" s="76"/>
      <c r="F46" s="76"/>
      <c r="G46" s="76"/>
      <c r="H46" s="76"/>
      <c r="I46" s="76"/>
      <c r="J46" s="76"/>
      <c r="K46" s="76"/>
      <c r="L46" s="76"/>
      <c r="M46" s="76"/>
      <c r="N46" s="76"/>
      <c r="O46" s="76"/>
      <c r="P46" s="160"/>
      <c r="Q46" s="76"/>
      <c r="R46" s="76"/>
      <c r="S46" s="76"/>
      <c r="T46" s="76"/>
      <c r="U46" s="74"/>
      <c r="V46" s="74"/>
      <c r="W46" s="74"/>
      <c r="X46" s="74"/>
      <c r="Y46" s="74"/>
      <c r="Z46" s="74"/>
      <c r="AA46" s="100"/>
      <c r="AB46" s="161"/>
      <c r="AC46" s="69"/>
      <c r="AD46" s="69"/>
      <c r="AE46" s="69"/>
      <c r="AF46" s="118"/>
    </row>
    <row r="47" spans="1:32" ht="15" customHeight="1">
      <c r="A47" s="106"/>
      <c r="B47" s="76"/>
      <c r="C47" s="76"/>
      <c r="D47" s="76"/>
      <c r="E47" s="76"/>
      <c r="F47" s="76"/>
      <c r="G47" s="76"/>
      <c r="H47" s="76"/>
      <c r="I47" s="76"/>
      <c r="J47" s="76"/>
      <c r="K47" s="76"/>
      <c r="L47" s="76"/>
      <c r="M47" s="76"/>
      <c r="N47" s="76"/>
      <c r="O47" s="76"/>
      <c r="P47" s="160"/>
      <c r="Q47" s="76"/>
      <c r="R47" s="76"/>
      <c r="S47" s="76"/>
      <c r="T47" s="76"/>
      <c r="U47" s="74"/>
      <c r="V47" s="74"/>
      <c r="W47" s="74"/>
      <c r="X47" s="74"/>
      <c r="Y47" s="74"/>
      <c r="Z47" s="74"/>
      <c r="AA47" s="100"/>
      <c r="AB47" s="161"/>
      <c r="AC47" s="69"/>
      <c r="AD47" s="74"/>
      <c r="AE47" s="74"/>
      <c r="AF47" s="118"/>
    </row>
    <row r="48" spans="1:32" ht="15" customHeight="1">
      <c r="A48" s="106"/>
      <c r="B48" s="76"/>
      <c r="C48" s="76"/>
      <c r="D48" s="76"/>
      <c r="E48" s="76"/>
      <c r="F48" s="76"/>
      <c r="G48" s="76"/>
      <c r="H48" s="76"/>
      <c r="I48" s="76"/>
      <c r="J48" s="76"/>
      <c r="K48" s="76"/>
      <c r="L48" s="76"/>
      <c r="M48" s="76"/>
      <c r="N48" s="76"/>
      <c r="O48" s="76"/>
      <c r="P48" s="160"/>
      <c r="Q48" s="76"/>
      <c r="R48" s="76"/>
      <c r="S48" s="76"/>
      <c r="T48" s="76"/>
      <c r="U48" s="74"/>
      <c r="V48" s="74"/>
      <c r="W48" s="74"/>
      <c r="X48" s="74"/>
      <c r="Y48" s="74"/>
      <c r="Z48" s="74"/>
      <c r="AA48" s="100"/>
      <c r="AB48" s="161"/>
      <c r="AC48" s="69"/>
      <c r="AD48" s="79"/>
      <c r="AE48" s="79"/>
      <c r="AF48" s="118"/>
    </row>
    <row r="49" spans="1:32" ht="15" customHeight="1">
      <c r="A49" s="106"/>
      <c r="B49" s="76"/>
      <c r="C49" s="76"/>
      <c r="D49" s="76"/>
      <c r="E49" s="76"/>
      <c r="F49" s="76"/>
      <c r="G49" s="76"/>
      <c r="H49" s="76"/>
      <c r="I49" s="76"/>
      <c r="J49" s="76"/>
      <c r="K49" s="76"/>
      <c r="L49" s="76"/>
      <c r="M49" s="76"/>
      <c r="N49" s="76"/>
      <c r="O49" s="76"/>
      <c r="P49" s="160"/>
      <c r="Q49" s="76"/>
      <c r="R49" s="76"/>
      <c r="S49" s="76"/>
      <c r="T49" s="76"/>
      <c r="U49" s="74"/>
      <c r="V49" s="74"/>
      <c r="W49" s="74"/>
      <c r="X49" s="74"/>
      <c r="Y49" s="74"/>
      <c r="Z49" s="74"/>
      <c r="AA49" s="100"/>
      <c r="AB49" s="161"/>
      <c r="AC49" s="69"/>
      <c r="AD49" s="79"/>
      <c r="AE49" s="79"/>
      <c r="AF49" s="118"/>
    </row>
    <row r="50" spans="1:32" ht="15" customHeight="1">
      <c r="A50" s="106"/>
      <c r="B50" s="76"/>
      <c r="C50" s="76"/>
      <c r="D50" s="76"/>
      <c r="E50" s="76"/>
      <c r="F50" s="76"/>
      <c r="G50" s="76"/>
      <c r="H50" s="76"/>
      <c r="I50" s="76"/>
      <c r="J50" s="76"/>
      <c r="K50" s="76"/>
      <c r="L50" s="76"/>
      <c r="M50" s="76"/>
      <c r="N50" s="76"/>
      <c r="O50" s="76"/>
      <c r="P50" s="160"/>
      <c r="Q50" s="76"/>
      <c r="R50" s="76"/>
      <c r="S50" s="76"/>
      <c r="T50" s="76"/>
      <c r="U50" s="74"/>
      <c r="V50" s="74"/>
      <c r="W50" s="74"/>
      <c r="X50" s="74"/>
      <c r="Y50" s="74"/>
      <c r="Z50" s="74"/>
      <c r="AA50" s="100"/>
      <c r="AB50" s="161"/>
      <c r="AC50" s="69"/>
      <c r="AD50" s="69"/>
      <c r="AE50" s="69"/>
      <c r="AF50" s="118"/>
    </row>
    <row r="51" spans="1:32" ht="15" customHeight="1">
      <c r="A51" s="106"/>
      <c r="B51" s="76"/>
      <c r="C51" s="76"/>
      <c r="D51" s="76"/>
      <c r="E51" s="76"/>
      <c r="F51" s="76"/>
      <c r="G51" s="76"/>
      <c r="H51" s="76"/>
      <c r="I51" s="76"/>
      <c r="J51" s="76"/>
      <c r="K51" s="76"/>
      <c r="L51" s="76"/>
      <c r="M51" s="76"/>
      <c r="N51" s="76"/>
      <c r="O51" s="76"/>
      <c r="P51" s="160"/>
      <c r="Q51" s="76"/>
      <c r="R51" s="76"/>
      <c r="S51" s="76"/>
      <c r="T51" s="76"/>
      <c r="U51" s="74"/>
      <c r="V51" s="74"/>
      <c r="W51" s="74"/>
      <c r="X51" s="74"/>
      <c r="Y51" s="74"/>
      <c r="Z51" s="74"/>
      <c r="AA51" s="100"/>
      <c r="AB51" s="161"/>
      <c r="AC51" s="69"/>
      <c r="AD51" s="74"/>
      <c r="AE51" s="74"/>
      <c r="AF51" s="118"/>
    </row>
    <row r="52" spans="1:32" ht="15" customHeight="1">
      <c r="A52" s="106"/>
      <c r="B52" s="76"/>
      <c r="C52" s="76"/>
      <c r="D52" s="76"/>
      <c r="E52" s="76"/>
      <c r="F52" s="76"/>
      <c r="G52" s="76"/>
      <c r="H52" s="76"/>
      <c r="I52" s="76"/>
      <c r="J52" s="76"/>
      <c r="K52" s="76"/>
      <c r="L52" s="76"/>
      <c r="M52" s="76"/>
      <c r="N52" s="76"/>
      <c r="O52" s="76"/>
      <c r="P52" s="160"/>
      <c r="Q52" s="76"/>
      <c r="R52" s="76"/>
      <c r="S52" s="76"/>
      <c r="T52" s="76"/>
      <c r="U52" s="74"/>
      <c r="V52" s="74"/>
      <c r="W52" s="74"/>
      <c r="X52" s="74"/>
      <c r="Y52" s="74"/>
      <c r="Z52" s="74"/>
      <c r="AA52" s="100"/>
      <c r="AB52" s="161"/>
      <c r="AC52" s="69"/>
      <c r="AD52" s="79"/>
      <c r="AE52" s="79"/>
      <c r="AF52" s="118"/>
    </row>
    <row r="53" spans="1:32" ht="15" customHeight="1">
      <c r="A53" s="106"/>
      <c r="B53" s="76"/>
      <c r="C53" s="76"/>
      <c r="D53" s="76"/>
      <c r="E53" s="76"/>
      <c r="F53" s="76"/>
      <c r="G53" s="76"/>
      <c r="H53" s="76"/>
      <c r="I53" s="76"/>
      <c r="J53" s="76"/>
      <c r="K53" s="76"/>
      <c r="L53" s="76"/>
      <c r="M53" s="76"/>
      <c r="N53" s="76"/>
      <c r="O53" s="76"/>
      <c r="P53" s="160"/>
      <c r="Q53" s="76"/>
      <c r="R53" s="76"/>
      <c r="S53" s="76"/>
      <c r="T53" s="76"/>
      <c r="U53" s="74"/>
      <c r="V53" s="74"/>
      <c r="W53" s="74"/>
      <c r="X53" s="74"/>
      <c r="Y53" s="74"/>
      <c r="Z53" s="74"/>
      <c r="AA53" s="100"/>
      <c r="AB53" s="161"/>
      <c r="AC53" s="69"/>
      <c r="AD53" s="69"/>
      <c r="AE53" s="69"/>
      <c r="AF53" s="118"/>
    </row>
    <row r="54" spans="1:32" ht="15" customHeight="1">
      <c r="A54" s="106"/>
      <c r="B54" s="76"/>
      <c r="C54" s="76"/>
      <c r="D54" s="76"/>
      <c r="E54" s="76"/>
      <c r="F54" s="76"/>
      <c r="G54" s="76"/>
      <c r="H54" s="76"/>
      <c r="I54" s="76"/>
      <c r="J54" s="76"/>
      <c r="K54" s="76"/>
      <c r="L54" s="76"/>
      <c r="M54" s="76"/>
      <c r="N54" s="76"/>
      <c r="O54" s="76"/>
      <c r="P54" s="160"/>
      <c r="Q54" s="76"/>
      <c r="R54" s="76"/>
      <c r="S54" s="76"/>
      <c r="T54" s="76"/>
      <c r="U54" s="74"/>
      <c r="V54" s="74"/>
      <c r="W54" s="74"/>
      <c r="X54" s="74"/>
      <c r="Y54" s="74"/>
      <c r="Z54" s="74"/>
      <c r="AA54" s="100"/>
      <c r="AB54" s="161"/>
      <c r="AC54" s="69"/>
      <c r="AD54" s="79"/>
      <c r="AE54" s="79"/>
      <c r="AF54" s="118"/>
    </row>
    <row r="55" spans="1:32" ht="15" customHeight="1">
      <c r="A55" s="106"/>
      <c r="B55" s="76"/>
      <c r="C55" s="76"/>
      <c r="D55" s="76"/>
      <c r="E55" s="76"/>
      <c r="F55" s="76"/>
      <c r="G55" s="76"/>
      <c r="H55" s="76"/>
      <c r="I55" s="76"/>
      <c r="J55" s="76"/>
      <c r="K55" s="76"/>
      <c r="L55" s="76"/>
      <c r="M55" s="76"/>
      <c r="N55" s="76"/>
      <c r="O55" s="76"/>
      <c r="P55" s="160"/>
      <c r="Q55" s="76"/>
      <c r="R55" s="76"/>
      <c r="S55" s="76"/>
      <c r="T55" s="76"/>
      <c r="U55" s="74"/>
      <c r="V55" s="74"/>
      <c r="W55" s="74"/>
      <c r="X55" s="74"/>
      <c r="Y55" s="74"/>
      <c r="Z55" s="74"/>
      <c r="AA55" s="100"/>
      <c r="AB55" s="161"/>
      <c r="AC55" s="69"/>
      <c r="AD55" s="69"/>
      <c r="AE55" s="69"/>
      <c r="AF55" s="118"/>
    </row>
    <row r="56" spans="1:32" ht="15" customHeight="1">
      <c r="A56" s="106"/>
      <c r="B56" s="76"/>
      <c r="C56" s="76"/>
      <c r="D56" s="76"/>
      <c r="E56" s="76"/>
      <c r="F56" s="76"/>
      <c r="G56" s="76"/>
      <c r="H56" s="76"/>
      <c r="I56" s="76"/>
      <c r="J56" s="76"/>
      <c r="K56" s="76"/>
      <c r="L56" s="76"/>
      <c r="M56" s="76"/>
      <c r="N56" s="76"/>
      <c r="O56" s="76"/>
      <c r="P56" s="160"/>
      <c r="Q56" s="76"/>
      <c r="R56" s="76"/>
      <c r="S56" s="76"/>
      <c r="T56" s="76"/>
      <c r="U56" s="74"/>
      <c r="V56" s="74"/>
      <c r="W56" s="74"/>
      <c r="X56" s="74"/>
      <c r="Y56" s="74"/>
      <c r="Z56" s="74"/>
      <c r="AA56" s="100"/>
      <c r="AB56" s="161"/>
      <c r="AC56" s="69"/>
      <c r="AD56" s="74"/>
      <c r="AE56" s="74"/>
      <c r="AF56" s="118"/>
    </row>
    <row r="57" spans="1:32" ht="15" customHeight="1">
      <c r="A57" s="106"/>
      <c r="B57" s="76"/>
      <c r="C57" s="76"/>
      <c r="D57" s="76"/>
      <c r="E57" s="76"/>
      <c r="F57" s="76"/>
      <c r="G57" s="76"/>
      <c r="H57" s="76"/>
      <c r="I57" s="76"/>
      <c r="J57" s="76"/>
      <c r="K57" s="76"/>
      <c r="L57" s="76"/>
      <c r="M57" s="76"/>
      <c r="N57" s="76"/>
      <c r="O57" s="76"/>
      <c r="P57" s="160"/>
      <c r="Q57" s="76"/>
      <c r="R57" s="76"/>
      <c r="S57" s="76"/>
      <c r="T57" s="76"/>
      <c r="U57" s="74"/>
      <c r="V57" s="74"/>
      <c r="W57" s="74"/>
      <c r="X57" s="74"/>
      <c r="Y57" s="74"/>
      <c r="Z57" s="74"/>
      <c r="AA57" s="100"/>
      <c r="AB57" s="161"/>
      <c r="AC57" s="69"/>
      <c r="AD57" s="79"/>
      <c r="AE57" s="79"/>
      <c r="AF57" s="118"/>
    </row>
    <row r="58" spans="1:32" ht="15" customHeight="1">
      <c r="A58" s="106"/>
      <c r="B58" s="76"/>
      <c r="C58" s="76"/>
      <c r="D58" s="76"/>
      <c r="E58" s="76"/>
      <c r="F58" s="76"/>
      <c r="G58" s="76"/>
      <c r="H58" s="76"/>
      <c r="I58" s="76"/>
      <c r="J58" s="76"/>
      <c r="K58" s="76"/>
      <c r="L58" s="76"/>
      <c r="M58" s="76"/>
      <c r="N58" s="76"/>
      <c r="O58" s="76"/>
      <c r="P58" s="160"/>
      <c r="Q58" s="76"/>
      <c r="R58" s="76"/>
      <c r="S58" s="76"/>
      <c r="T58" s="76"/>
      <c r="U58" s="74"/>
      <c r="V58" s="74"/>
      <c r="W58" s="74"/>
      <c r="X58" s="74"/>
      <c r="Y58" s="74"/>
      <c r="Z58" s="74"/>
      <c r="AA58" s="100"/>
      <c r="AB58" s="161"/>
      <c r="AC58" s="69"/>
      <c r="AD58" s="79"/>
      <c r="AE58" s="79"/>
      <c r="AF58" s="118"/>
    </row>
    <row r="59" spans="1:32" ht="15" customHeight="1">
      <c r="A59" s="106"/>
      <c r="B59" s="76"/>
      <c r="C59" s="76"/>
      <c r="D59" s="76"/>
      <c r="E59" s="76"/>
      <c r="F59" s="76"/>
      <c r="G59" s="76"/>
      <c r="H59" s="76"/>
      <c r="I59" s="76"/>
      <c r="J59" s="76"/>
      <c r="K59" s="76"/>
      <c r="L59" s="76"/>
      <c r="M59" s="76"/>
      <c r="N59" s="76"/>
      <c r="O59" s="76"/>
      <c r="P59" s="160"/>
      <c r="Q59" s="76"/>
      <c r="R59" s="76"/>
      <c r="S59" s="76"/>
      <c r="T59" s="76"/>
      <c r="U59" s="74"/>
      <c r="V59" s="74"/>
      <c r="W59" s="74"/>
      <c r="X59" s="74"/>
      <c r="Y59" s="74"/>
      <c r="Z59" s="74"/>
      <c r="AA59" s="100"/>
      <c r="AB59" s="161"/>
      <c r="AC59" s="69"/>
      <c r="AD59" s="69"/>
      <c r="AE59" s="69"/>
      <c r="AF59" s="118"/>
    </row>
    <row r="60" spans="1:32" ht="15" customHeight="1">
      <c r="A60" s="106"/>
      <c r="B60" s="76"/>
      <c r="C60" s="76"/>
      <c r="D60" s="76"/>
      <c r="E60" s="76"/>
      <c r="F60" s="76"/>
      <c r="G60" s="76"/>
      <c r="H60" s="76"/>
      <c r="I60" s="76"/>
      <c r="J60" s="76"/>
      <c r="K60" s="76"/>
      <c r="L60" s="76"/>
      <c r="M60" s="76"/>
      <c r="N60" s="76"/>
      <c r="O60" s="76"/>
      <c r="P60" s="160"/>
      <c r="Q60" s="76"/>
      <c r="R60" s="76"/>
      <c r="S60" s="76"/>
      <c r="T60" s="76"/>
      <c r="U60" s="74"/>
      <c r="V60" s="74"/>
      <c r="W60" s="74"/>
      <c r="X60" s="74"/>
      <c r="Y60" s="74"/>
      <c r="Z60" s="74"/>
      <c r="AA60" s="100"/>
      <c r="AB60" s="161"/>
      <c r="AC60" s="69"/>
      <c r="AD60" s="74"/>
      <c r="AE60" s="74"/>
      <c r="AF60" s="118"/>
    </row>
    <row r="61" spans="1:32" ht="15" customHeight="1">
      <c r="A61" s="106"/>
      <c r="B61" s="76"/>
      <c r="C61" s="76"/>
      <c r="D61" s="76"/>
      <c r="E61" s="76"/>
      <c r="F61" s="76"/>
      <c r="G61" s="76"/>
      <c r="H61" s="76"/>
      <c r="I61" s="76"/>
      <c r="J61" s="76"/>
      <c r="K61" s="76"/>
      <c r="L61" s="76"/>
      <c r="M61" s="76"/>
      <c r="N61" s="76"/>
      <c r="O61" s="76"/>
      <c r="P61" s="160"/>
      <c r="Q61" s="76"/>
      <c r="R61" s="76"/>
      <c r="S61" s="76"/>
      <c r="T61" s="76"/>
      <c r="U61" s="74"/>
      <c r="V61" s="74"/>
      <c r="W61" s="74"/>
      <c r="X61" s="74"/>
      <c r="Y61" s="74"/>
      <c r="Z61" s="74"/>
      <c r="AA61" s="100"/>
      <c r="AB61" s="161"/>
      <c r="AC61" s="69"/>
      <c r="AD61" s="79"/>
      <c r="AE61" s="79"/>
      <c r="AF61" s="118"/>
    </row>
    <row r="62" spans="1:32" ht="15" customHeight="1">
      <c r="A62" s="106"/>
      <c r="B62" s="76"/>
      <c r="C62" s="76"/>
      <c r="D62" s="76"/>
      <c r="E62" s="76"/>
      <c r="F62" s="76"/>
      <c r="G62" s="76"/>
      <c r="H62" s="76"/>
      <c r="I62" s="76"/>
      <c r="J62" s="76"/>
      <c r="K62" s="76"/>
      <c r="L62" s="76"/>
      <c r="M62" s="76"/>
      <c r="N62" s="76"/>
      <c r="O62" s="76"/>
      <c r="P62" s="160"/>
      <c r="Q62" s="76"/>
      <c r="R62" s="76"/>
      <c r="S62" s="76"/>
      <c r="T62" s="76"/>
      <c r="U62" s="74"/>
      <c r="V62" s="74"/>
      <c r="W62" s="74"/>
      <c r="X62" s="74"/>
      <c r="Y62" s="74"/>
      <c r="Z62" s="74"/>
      <c r="AA62" s="100"/>
      <c r="AB62" s="161"/>
      <c r="AC62" s="69"/>
      <c r="AD62" s="69"/>
      <c r="AE62" s="69"/>
      <c r="AF62" s="118"/>
    </row>
    <row r="63" spans="1:32" ht="15" customHeight="1">
      <c r="A63" s="106"/>
      <c r="B63" s="76"/>
      <c r="C63" s="76"/>
      <c r="D63" s="76"/>
      <c r="E63" s="76"/>
      <c r="F63" s="76"/>
      <c r="G63" s="76"/>
      <c r="H63" s="76"/>
      <c r="I63" s="76"/>
      <c r="J63" s="76"/>
      <c r="K63" s="76"/>
      <c r="L63" s="76"/>
      <c r="M63" s="76"/>
      <c r="N63" s="76"/>
      <c r="O63" s="76"/>
      <c r="P63" s="160"/>
      <c r="Q63" s="76"/>
      <c r="R63" s="76"/>
      <c r="S63" s="76"/>
      <c r="T63" s="76"/>
      <c r="U63" s="74"/>
      <c r="V63" s="74"/>
      <c r="W63" s="74"/>
      <c r="X63" s="74"/>
      <c r="Y63" s="74"/>
      <c r="Z63" s="74"/>
      <c r="AA63" s="100"/>
      <c r="AB63" s="161"/>
      <c r="AC63" s="69"/>
      <c r="AD63" s="74"/>
      <c r="AE63" s="74"/>
      <c r="AF63" s="118"/>
    </row>
    <row r="64" spans="1:32" ht="15" customHeight="1">
      <c r="A64" s="106"/>
      <c r="B64" s="76"/>
      <c r="C64" s="76"/>
      <c r="D64" s="76"/>
      <c r="E64" s="76"/>
      <c r="F64" s="76"/>
      <c r="G64" s="76"/>
      <c r="H64" s="76"/>
      <c r="I64" s="76"/>
      <c r="J64" s="76"/>
      <c r="K64" s="76"/>
      <c r="L64" s="76"/>
      <c r="M64" s="76"/>
      <c r="N64" s="76"/>
      <c r="O64" s="76"/>
      <c r="P64" s="160"/>
      <c r="Q64" s="76"/>
      <c r="R64" s="76"/>
      <c r="S64" s="76"/>
      <c r="T64" s="76"/>
      <c r="U64" s="74"/>
      <c r="V64" s="74"/>
      <c r="W64" s="74"/>
      <c r="X64" s="74"/>
      <c r="Y64" s="74"/>
      <c r="Z64" s="74"/>
      <c r="AA64" s="100"/>
      <c r="AB64" s="161"/>
      <c r="AC64" s="69"/>
      <c r="AD64" s="79"/>
      <c r="AE64" s="79"/>
      <c r="AF64" s="118"/>
    </row>
    <row r="65" spans="1:32" ht="15" customHeight="1">
      <c r="A65" s="106"/>
      <c r="B65" s="76"/>
      <c r="C65" s="76"/>
      <c r="D65" s="76"/>
      <c r="E65" s="76"/>
      <c r="F65" s="76"/>
      <c r="G65" s="76"/>
      <c r="H65" s="76"/>
      <c r="I65" s="76"/>
      <c r="J65" s="76"/>
      <c r="K65" s="76"/>
      <c r="L65" s="76"/>
      <c r="M65" s="76"/>
      <c r="N65" s="76"/>
      <c r="O65" s="76"/>
      <c r="P65" s="160"/>
      <c r="Q65" s="76"/>
      <c r="R65" s="76"/>
      <c r="S65" s="76"/>
      <c r="T65" s="76"/>
      <c r="U65" s="74"/>
      <c r="V65" s="74"/>
      <c r="W65" s="74"/>
      <c r="X65" s="74"/>
      <c r="Y65" s="74"/>
      <c r="Z65" s="74"/>
      <c r="AA65" s="100"/>
      <c r="AB65" s="161"/>
      <c r="AC65" s="69"/>
      <c r="AD65" s="69"/>
      <c r="AE65" s="69"/>
      <c r="AF65" s="118"/>
    </row>
    <row r="66" spans="1:32" ht="15" customHeight="1">
      <c r="A66" s="172"/>
      <c r="B66" s="173"/>
      <c r="C66" s="173"/>
      <c r="D66" s="173"/>
      <c r="E66" s="173"/>
      <c r="F66" s="173"/>
      <c r="G66" s="173"/>
      <c r="H66" s="173"/>
      <c r="I66" s="173"/>
      <c r="J66" s="173"/>
      <c r="K66" s="173"/>
      <c r="L66" s="173"/>
      <c r="M66" s="173"/>
      <c r="N66" s="173"/>
      <c r="O66" s="173"/>
      <c r="P66" s="174"/>
      <c r="Q66" s="76"/>
      <c r="R66" s="76"/>
      <c r="S66" s="76"/>
      <c r="T66" s="76"/>
      <c r="U66" s="74"/>
      <c r="V66" s="74"/>
      <c r="W66" s="74"/>
      <c r="X66" s="74"/>
      <c r="Y66" s="74"/>
      <c r="Z66" s="74"/>
      <c r="AA66" s="100"/>
      <c r="AB66" s="161"/>
      <c r="AC66" s="69"/>
      <c r="AD66" s="79"/>
      <c r="AE66" s="79"/>
      <c r="AF66" s="118"/>
    </row>
    <row r="67" spans="1:32" ht="15" customHeight="1">
      <c r="A67" s="175"/>
      <c r="B67" s="176"/>
      <c r="C67" s="176"/>
      <c r="D67" s="176"/>
      <c r="E67" s="176"/>
      <c r="F67" s="176"/>
      <c r="G67" s="176"/>
      <c r="H67" s="176"/>
      <c r="I67" s="176"/>
      <c r="J67" s="176"/>
      <c r="K67" s="176"/>
      <c r="L67" s="176"/>
      <c r="M67" s="176"/>
      <c r="N67" s="176"/>
      <c r="O67" s="98"/>
      <c r="P67" s="98"/>
      <c r="Q67" s="74"/>
      <c r="R67" s="74"/>
      <c r="S67" s="74"/>
      <c r="T67" s="74"/>
      <c r="U67" s="74"/>
      <c r="V67" s="74"/>
      <c r="W67" s="74"/>
      <c r="X67" s="74"/>
      <c r="Y67" s="74"/>
      <c r="Z67" s="74"/>
      <c r="AA67" s="100"/>
      <c r="AB67" s="161"/>
      <c r="AC67" s="69"/>
      <c r="AD67" s="69"/>
      <c r="AE67" s="69"/>
      <c r="AF67" s="118"/>
    </row>
    <row r="68" spans="1:32" ht="15" customHeight="1">
      <c r="A68" s="74"/>
      <c r="B68" s="105"/>
      <c r="C68" s="64"/>
      <c r="D68" s="64"/>
      <c r="E68" s="64"/>
      <c r="F68" s="64"/>
      <c r="G68" s="64"/>
      <c r="H68" s="64"/>
      <c r="I68" s="64"/>
      <c r="J68" s="64"/>
      <c r="K68" s="64"/>
      <c r="L68" s="64"/>
      <c r="M68" s="64"/>
      <c r="N68" s="64"/>
      <c r="O68" s="74"/>
      <c r="P68" s="74"/>
      <c r="Q68" s="74"/>
      <c r="R68" s="74"/>
      <c r="S68" s="74"/>
      <c r="T68" s="74"/>
      <c r="U68" s="74"/>
      <c r="V68" s="74"/>
      <c r="W68" s="74"/>
      <c r="X68" s="74"/>
      <c r="Y68" s="74"/>
      <c r="Z68" s="74"/>
      <c r="AA68" s="100"/>
      <c r="AB68" s="161"/>
      <c r="AC68" s="69"/>
      <c r="AD68" s="74"/>
      <c r="AE68" s="74"/>
      <c r="AF68" s="118"/>
    </row>
    <row r="69" spans="1:32" ht="15" customHeight="1">
      <c r="A69" s="79"/>
      <c r="B69" s="108"/>
      <c r="C69" s="74"/>
      <c r="D69" s="102"/>
      <c r="E69" s="102"/>
      <c r="F69" s="102"/>
      <c r="G69" s="102"/>
      <c r="H69" s="102"/>
      <c r="I69" s="102"/>
      <c r="J69" s="102"/>
      <c r="K69" s="102"/>
      <c r="L69" s="102"/>
      <c r="M69" s="102"/>
      <c r="N69" s="102"/>
      <c r="O69" s="74"/>
      <c r="P69" s="74"/>
      <c r="Q69" s="74"/>
      <c r="R69" s="74"/>
      <c r="S69" s="74"/>
      <c r="T69" s="74"/>
      <c r="U69" s="74"/>
      <c r="V69" s="74"/>
      <c r="W69" s="74"/>
      <c r="X69" s="74"/>
      <c r="Y69" s="74"/>
      <c r="Z69" s="74"/>
      <c r="AA69" s="100"/>
      <c r="AB69" s="161"/>
      <c r="AC69" s="69"/>
      <c r="AD69" s="79"/>
      <c r="AE69" s="79"/>
      <c r="AF69" s="118"/>
    </row>
    <row r="70" spans="1:32" ht="15" customHeight="1">
      <c r="A70" s="76"/>
      <c r="B70" s="64"/>
      <c r="C70" s="64"/>
      <c r="D70" s="64"/>
      <c r="E70" s="64"/>
      <c r="F70" s="64"/>
      <c r="G70" s="64"/>
      <c r="H70" s="64"/>
      <c r="I70" s="64"/>
      <c r="J70" s="64"/>
      <c r="K70" s="64"/>
      <c r="L70" s="64"/>
      <c r="M70" s="64"/>
      <c r="N70" s="64"/>
      <c r="O70" s="74"/>
      <c r="P70" s="74"/>
      <c r="Q70" s="74"/>
      <c r="R70" s="74"/>
      <c r="S70" s="74"/>
      <c r="T70" s="74"/>
      <c r="U70" s="74"/>
      <c r="V70" s="74"/>
      <c r="W70" s="74"/>
      <c r="X70" s="74"/>
      <c r="Y70" s="74"/>
      <c r="Z70" s="74"/>
      <c r="AA70" s="100"/>
      <c r="AB70" s="161"/>
      <c r="AC70" s="69"/>
      <c r="AD70" s="69"/>
      <c r="AE70" s="69"/>
      <c r="AF70" s="118"/>
    </row>
    <row r="71" spans="1:32" ht="15" customHeight="1">
      <c r="A71" s="74"/>
      <c r="B71" s="105"/>
      <c r="C71" s="64"/>
      <c r="D71" s="64"/>
      <c r="E71" s="64"/>
      <c r="F71" s="64"/>
      <c r="G71" s="64"/>
      <c r="H71" s="64"/>
      <c r="I71" s="64"/>
      <c r="J71" s="64"/>
      <c r="K71" s="64"/>
      <c r="L71" s="64"/>
      <c r="M71" s="64"/>
      <c r="N71" s="64"/>
      <c r="O71" s="74"/>
      <c r="P71" s="74"/>
      <c r="Q71" s="74"/>
      <c r="R71" s="74"/>
      <c r="S71" s="74"/>
      <c r="T71" s="74"/>
      <c r="U71" s="74"/>
      <c r="V71" s="74"/>
      <c r="W71" s="74"/>
      <c r="X71" s="74"/>
      <c r="Y71" s="74"/>
      <c r="Z71" s="74"/>
      <c r="AA71" s="100"/>
      <c r="AB71" s="161"/>
      <c r="AC71" s="69"/>
      <c r="AD71" s="74"/>
      <c r="AE71" s="74"/>
      <c r="AF71" s="118"/>
    </row>
    <row r="72" spans="1:32" ht="15" customHeight="1">
      <c r="A72" s="79"/>
      <c r="B72" s="108"/>
      <c r="C72" s="74"/>
      <c r="D72" s="102"/>
      <c r="E72" s="102"/>
      <c r="F72" s="102"/>
      <c r="G72" s="102"/>
      <c r="H72" s="102"/>
      <c r="I72" s="102"/>
      <c r="J72" s="102"/>
      <c r="K72" s="102"/>
      <c r="L72" s="102"/>
      <c r="M72" s="102"/>
      <c r="N72" s="102"/>
      <c r="O72" s="74"/>
      <c r="P72" s="74"/>
      <c r="Q72" s="74"/>
      <c r="R72" s="74"/>
      <c r="S72" s="74"/>
      <c r="T72" s="74"/>
      <c r="U72" s="74"/>
      <c r="V72" s="74"/>
      <c r="W72" s="74"/>
      <c r="X72" s="74"/>
      <c r="Y72" s="74"/>
      <c r="Z72" s="74"/>
      <c r="AA72" s="100"/>
      <c r="AB72" s="161"/>
      <c r="AC72" s="69"/>
      <c r="AD72" s="79"/>
      <c r="AE72" s="79"/>
      <c r="AF72" s="118"/>
    </row>
    <row r="73" spans="1:32" ht="15" customHeight="1">
      <c r="A73" s="76"/>
      <c r="B73" s="64"/>
      <c r="C73" s="64"/>
      <c r="D73" s="64"/>
      <c r="E73" s="64"/>
      <c r="F73" s="64"/>
      <c r="G73" s="64"/>
      <c r="H73" s="64"/>
      <c r="I73" s="64"/>
      <c r="J73" s="64"/>
      <c r="K73" s="64"/>
      <c r="L73" s="64"/>
      <c r="M73" s="64"/>
      <c r="N73" s="64"/>
      <c r="O73" s="74"/>
      <c r="P73" s="74"/>
      <c r="Q73" s="74"/>
      <c r="R73" s="74"/>
      <c r="S73" s="74"/>
      <c r="T73" s="74"/>
      <c r="U73" s="74"/>
      <c r="V73" s="74"/>
      <c r="W73" s="74"/>
      <c r="X73" s="74"/>
      <c r="Y73" s="74"/>
      <c r="Z73" s="74"/>
      <c r="AA73" s="100"/>
      <c r="AB73" s="161"/>
      <c r="AC73" s="69"/>
      <c r="AD73" s="69"/>
      <c r="AE73" s="69"/>
      <c r="AF73" s="118"/>
    </row>
    <row r="74" spans="1:32" ht="15" customHeight="1">
      <c r="A74" s="74"/>
      <c r="B74" s="105"/>
      <c r="C74" s="64"/>
      <c r="D74" s="64"/>
      <c r="E74" s="64"/>
      <c r="F74" s="64"/>
      <c r="G74" s="64"/>
      <c r="H74" s="64"/>
      <c r="I74" s="64"/>
      <c r="J74" s="64"/>
      <c r="K74" s="64"/>
      <c r="L74" s="64"/>
      <c r="M74" s="64"/>
      <c r="N74" s="64"/>
      <c r="O74" s="74"/>
      <c r="P74" s="74"/>
      <c r="Q74" s="74"/>
      <c r="R74" s="74"/>
      <c r="S74" s="74"/>
      <c r="T74" s="74"/>
      <c r="U74" s="74"/>
      <c r="V74" s="74"/>
      <c r="W74" s="74"/>
      <c r="X74" s="74"/>
      <c r="Y74" s="74"/>
      <c r="Z74" s="74"/>
      <c r="AA74" s="100"/>
      <c r="AB74" s="161"/>
      <c r="AC74" s="69"/>
      <c r="AD74" s="74"/>
      <c r="AE74" s="74"/>
      <c r="AF74" s="118"/>
    </row>
    <row r="75" spans="1:32" ht="15" customHeight="1">
      <c r="A75" s="79"/>
      <c r="B75" s="108"/>
      <c r="C75" s="74"/>
      <c r="D75" s="102"/>
      <c r="E75" s="102"/>
      <c r="F75" s="102"/>
      <c r="G75" s="102"/>
      <c r="H75" s="102"/>
      <c r="I75" s="102"/>
      <c r="J75" s="102"/>
      <c r="K75" s="102"/>
      <c r="L75" s="102"/>
      <c r="M75" s="102"/>
      <c r="N75" s="102"/>
      <c r="O75" s="74"/>
      <c r="P75" s="74"/>
      <c r="Q75" s="74"/>
      <c r="R75" s="74"/>
      <c r="S75" s="74"/>
      <c r="T75" s="74"/>
      <c r="U75" s="74"/>
      <c r="V75" s="74"/>
      <c r="W75" s="74"/>
      <c r="X75" s="74"/>
      <c r="Y75" s="74"/>
      <c r="Z75" s="74"/>
      <c r="AA75" s="100"/>
      <c r="AB75" s="161"/>
      <c r="AC75" s="69"/>
      <c r="AD75" s="79"/>
      <c r="AE75" s="79"/>
      <c r="AF75" s="118"/>
    </row>
    <row r="76" spans="1:32" ht="15" customHeight="1">
      <c r="A76" s="76"/>
      <c r="B76" s="64"/>
      <c r="C76" s="64"/>
      <c r="D76" s="64"/>
      <c r="E76" s="64"/>
      <c r="F76" s="64"/>
      <c r="G76" s="64"/>
      <c r="H76" s="64"/>
      <c r="I76" s="64"/>
      <c r="J76" s="64"/>
      <c r="K76" s="64"/>
      <c r="L76" s="64"/>
      <c r="M76" s="64"/>
      <c r="N76" s="64"/>
      <c r="O76" s="74"/>
      <c r="P76" s="74"/>
      <c r="Q76" s="74"/>
      <c r="R76" s="74"/>
      <c r="S76" s="74"/>
      <c r="T76" s="74"/>
      <c r="U76" s="74"/>
      <c r="V76" s="74"/>
      <c r="W76" s="74"/>
      <c r="X76" s="74"/>
      <c r="Y76" s="74"/>
      <c r="Z76" s="74"/>
      <c r="AA76" s="100"/>
      <c r="AB76" s="161"/>
      <c r="AC76" s="69"/>
      <c r="AD76" s="69"/>
      <c r="AE76" s="69"/>
      <c r="AF76" s="118"/>
    </row>
    <row r="77" spans="1:32" ht="15" customHeight="1">
      <c r="A77" s="74"/>
      <c r="B77" s="105"/>
      <c r="C77" s="64"/>
      <c r="D77" s="64"/>
      <c r="E77" s="64"/>
      <c r="F77" s="64"/>
      <c r="G77" s="64"/>
      <c r="H77" s="64"/>
      <c r="I77" s="64"/>
      <c r="J77" s="64"/>
      <c r="K77" s="64"/>
      <c r="L77" s="64"/>
      <c r="M77" s="64"/>
      <c r="N77" s="64"/>
      <c r="O77" s="74"/>
      <c r="P77" s="74"/>
      <c r="Q77" s="74"/>
      <c r="R77" s="74"/>
      <c r="S77" s="74"/>
      <c r="T77" s="74"/>
      <c r="U77" s="74"/>
      <c r="V77" s="74"/>
      <c r="W77" s="74"/>
      <c r="X77" s="74"/>
      <c r="Y77" s="74"/>
      <c r="Z77" s="74"/>
      <c r="AA77" s="100"/>
      <c r="AB77" s="161"/>
      <c r="AC77" s="69"/>
      <c r="AD77" s="74"/>
      <c r="AE77" s="74"/>
      <c r="AF77" s="118"/>
    </row>
    <row r="78" spans="1:32" ht="15" customHeight="1">
      <c r="A78" s="79"/>
      <c r="B78" s="108"/>
      <c r="C78" s="74"/>
      <c r="D78" s="102"/>
      <c r="E78" s="102"/>
      <c r="F78" s="102"/>
      <c r="G78" s="102"/>
      <c r="H78" s="102"/>
      <c r="I78" s="102"/>
      <c r="J78" s="102"/>
      <c r="K78" s="102"/>
      <c r="L78" s="102"/>
      <c r="M78" s="102"/>
      <c r="N78" s="102"/>
      <c r="O78" s="74"/>
      <c r="P78" s="74"/>
      <c r="Q78" s="74"/>
      <c r="R78" s="74"/>
      <c r="S78" s="74"/>
      <c r="T78" s="74"/>
      <c r="U78" s="74"/>
      <c r="V78" s="74"/>
      <c r="W78" s="74"/>
      <c r="X78" s="74"/>
      <c r="Y78" s="74"/>
      <c r="Z78" s="74"/>
      <c r="AA78" s="100"/>
      <c r="AB78" s="161"/>
      <c r="AC78" s="69"/>
      <c r="AD78" s="79"/>
      <c r="AE78" s="79"/>
      <c r="AF78" s="118"/>
    </row>
    <row r="79" spans="1:32" ht="20.25" customHeight="1">
      <c r="A79" s="82"/>
      <c r="B79" s="74"/>
      <c r="C79" s="74"/>
      <c r="D79" s="74"/>
      <c r="E79" s="74"/>
      <c r="F79" s="74"/>
      <c r="G79" s="74"/>
      <c r="H79" s="74"/>
      <c r="I79" s="74"/>
      <c r="J79" s="74"/>
      <c r="K79" s="74"/>
      <c r="L79" s="74"/>
      <c r="M79" s="74"/>
      <c r="N79" s="74"/>
      <c r="O79" s="177"/>
      <c r="P79" s="177"/>
      <c r="Q79" s="177"/>
      <c r="R79" s="177"/>
      <c r="S79" s="177"/>
      <c r="T79" s="74"/>
      <c r="U79" s="74"/>
      <c r="V79" s="74"/>
      <c r="W79" s="74"/>
      <c r="X79" s="74"/>
      <c r="Y79" s="74"/>
      <c r="Z79" s="74"/>
      <c r="AA79" s="100"/>
      <c r="AB79" s="100"/>
      <c r="AC79" s="82"/>
      <c r="AD79" s="82"/>
      <c r="AE79" s="82"/>
      <c r="AF79" s="118"/>
    </row>
    <row r="80" spans="1:32" ht="20.25" customHeight="1">
      <c r="A80" s="74"/>
      <c r="B80" s="74"/>
      <c r="C80" s="74"/>
      <c r="D80" s="74"/>
      <c r="E80" s="74"/>
      <c r="F80" s="74"/>
      <c r="G80" s="74"/>
      <c r="H80" s="74"/>
      <c r="I80" s="74"/>
      <c r="J80" s="74"/>
      <c r="K80" s="74"/>
      <c r="L80" s="74"/>
      <c r="M80" s="74"/>
      <c r="N80" s="74"/>
      <c r="O80" s="177"/>
      <c r="P80" s="177"/>
      <c r="Q80" s="177"/>
      <c r="R80" s="177"/>
      <c r="S80" s="177"/>
      <c r="T80" s="74"/>
      <c r="U80" s="74"/>
      <c r="V80" s="74"/>
      <c r="W80" s="74"/>
      <c r="X80" s="74"/>
      <c r="Y80" s="74"/>
      <c r="Z80" s="74"/>
      <c r="AA80" s="100"/>
      <c r="AB80" s="100"/>
      <c r="AC80" s="74"/>
      <c r="AD80" s="74"/>
      <c r="AE80" s="74"/>
      <c r="AF80" s="118"/>
    </row>
    <row r="81" spans="1:32" ht="20.25" customHeight="1">
      <c r="A81" s="74"/>
      <c r="B81" s="74"/>
      <c r="C81" s="74"/>
      <c r="D81" s="162"/>
      <c r="E81" s="162"/>
      <c r="F81" s="162"/>
      <c r="G81" s="162"/>
      <c r="H81" s="162"/>
      <c r="I81" s="162"/>
      <c r="J81" s="162"/>
      <c r="K81" s="161"/>
      <c r="L81" s="162"/>
      <c r="M81" s="162"/>
      <c r="N81" s="162"/>
      <c r="O81" s="177"/>
      <c r="P81" s="177"/>
      <c r="Q81" s="177"/>
      <c r="R81" s="177"/>
      <c r="S81" s="177"/>
      <c r="T81" s="74"/>
      <c r="U81" s="74"/>
      <c r="V81" s="74"/>
      <c r="W81" s="74"/>
      <c r="X81" s="74"/>
      <c r="Y81" s="74"/>
      <c r="Z81" s="74"/>
      <c r="AA81" s="100"/>
      <c r="AB81" s="100"/>
      <c r="AC81" s="74"/>
      <c r="AD81" s="74"/>
      <c r="AE81" s="74"/>
      <c r="AF81" s="118"/>
    </row>
    <row r="82" spans="1:32" ht="20.25" customHeight="1">
      <c r="A82" s="64"/>
      <c r="B82" s="74"/>
      <c r="C82" s="74"/>
      <c r="D82" s="162"/>
      <c r="E82" s="162"/>
      <c r="F82" s="162"/>
      <c r="G82" s="162"/>
      <c r="H82" s="162"/>
      <c r="I82" s="162"/>
      <c r="J82" s="162"/>
      <c r="K82" s="161"/>
      <c r="L82" s="162"/>
      <c r="M82" s="162"/>
      <c r="N82" s="162"/>
      <c r="O82" s="64"/>
      <c r="P82" s="64"/>
      <c r="Q82" s="64"/>
      <c r="R82" s="64"/>
      <c r="S82" s="64"/>
      <c r="T82" s="64"/>
      <c r="U82" s="64"/>
      <c r="V82" s="64"/>
      <c r="W82" s="64"/>
      <c r="X82" s="64"/>
      <c r="Y82" s="64"/>
      <c r="Z82" s="64"/>
      <c r="AA82" s="64"/>
      <c r="AB82" s="64"/>
      <c r="AC82" s="64"/>
      <c r="AD82" s="64"/>
      <c r="AE82" s="64"/>
      <c r="AF82" s="118"/>
    </row>
    <row r="83" spans="1:32" ht="20.25" customHeight="1">
      <c r="A83" s="64"/>
      <c r="B83" s="74"/>
      <c r="C83" s="178"/>
      <c r="D83" s="162"/>
      <c r="E83" s="162"/>
      <c r="F83" s="162"/>
      <c r="G83" s="162"/>
      <c r="H83" s="162"/>
      <c r="I83" s="162"/>
      <c r="J83" s="162"/>
      <c r="K83" s="161"/>
      <c r="L83" s="162"/>
      <c r="M83" s="162"/>
      <c r="N83" s="162"/>
      <c r="O83" s="64"/>
      <c r="P83" s="64"/>
      <c r="Q83" s="64"/>
      <c r="R83" s="64"/>
      <c r="S83" s="64"/>
      <c r="T83" s="64"/>
      <c r="U83" s="64"/>
      <c r="V83" s="64"/>
      <c r="W83" s="64"/>
      <c r="X83" s="64"/>
      <c r="Y83" s="64"/>
      <c r="Z83" s="64"/>
      <c r="AA83" s="64"/>
      <c r="AB83" s="64"/>
      <c r="AC83" s="64"/>
      <c r="AD83" s="64"/>
      <c r="AE83" s="64"/>
      <c r="AF83" s="118"/>
    </row>
    <row r="84" spans="1:32" ht="20.25" customHeight="1">
      <c r="A84" s="64"/>
      <c r="B84" s="179"/>
      <c r="C84" s="179"/>
      <c r="D84" s="74"/>
      <c r="E84" s="74"/>
      <c r="F84" s="74"/>
      <c r="G84" s="74"/>
      <c r="H84" s="74"/>
      <c r="I84" s="74"/>
      <c r="J84" s="74"/>
      <c r="K84" s="74"/>
      <c r="L84" s="74"/>
      <c r="M84" s="74"/>
      <c r="N84" s="74"/>
      <c r="O84" s="64"/>
      <c r="P84" s="64"/>
      <c r="Q84" s="64"/>
      <c r="R84" s="64"/>
      <c r="S84" s="64"/>
      <c r="T84" s="64"/>
      <c r="U84" s="64"/>
      <c r="V84" s="64"/>
      <c r="W84" s="64"/>
      <c r="X84" s="64"/>
      <c r="Y84" s="64"/>
      <c r="Z84" s="64"/>
      <c r="AA84" s="64"/>
      <c r="AB84" s="64"/>
      <c r="AC84" s="64"/>
      <c r="AD84" s="64"/>
      <c r="AE84" s="64"/>
      <c r="AF84" s="118"/>
    </row>
    <row r="85" spans="1:32" ht="25" customHeight="1">
      <c r="A85" s="69"/>
      <c r="B85" s="179"/>
      <c r="C85" s="179"/>
      <c r="D85" s="74"/>
      <c r="E85" s="74"/>
      <c r="F85" s="74"/>
      <c r="G85" s="74"/>
      <c r="H85" s="74"/>
      <c r="I85" s="74"/>
      <c r="J85" s="74"/>
      <c r="K85" s="74"/>
      <c r="L85" s="74"/>
      <c r="M85" s="74"/>
      <c r="N85" s="74"/>
      <c r="O85" s="69"/>
      <c r="P85" s="69"/>
      <c r="Q85" s="69"/>
      <c r="R85" s="69"/>
      <c r="S85" s="69"/>
      <c r="T85" s="69"/>
      <c r="U85" s="69"/>
      <c r="V85" s="69"/>
      <c r="W85" s="69"/>
      <c r="X85" s="69"/>
      <c r="Y85" s="69"/>
      <c r="Z85" s="69"/>
      <c r="AA85" s="69"/>
      <c r="AB85" s="69"/>
      <c r="AC85" s="69"/>
      <c r="AD85" s="69"/>
      <c r="AE85" s="69"/>
      <c r="AF85" s="118"/>
    </row>
    <row r="86" spans="1:32" ht="20.25" customHeight="1">
      <c r="A86" s="64"/>
      <c r="B86" s="179"/>
      <c r="C86" s="179"/>
      <c r="D86" s="74"/>
      <c r="E86" s="74"/>
      <c r="F86" s="74"/>
      <c r="G86" s="74"/>
      <c r="H86" s="74"/>
      <c r="I86" s="74"/>
      <c r="J86" s="74"/>
      <c r="K86" s="74"/>
      <c r="L86" s="74"/>
      <c r="M86" s="74"/>
      <c r="N86" s="74"/>
      <c r="O86" s="64"/>
      <c r="P86" s="64"/>
      <c r="Q86" s="64"/>
      <c r="R86" s="64"/>
      <c r="S86" s="64"/>
      <c r="T86" s="64"/>
      <c r="U86" s="64"/>
      <c r="V86" s="64"/>
      <c r="W86" s="64"/>
      <c r="X86" s="64"/>
      <c r="Y86" s="64"/>
      <c r="Z86" s="64"/>
      <c r="AA86" s="64"/>
      <c r="AB86" s="64"/>
      <c r="AC86" s="64"/>
      <c r="AD86" s="64"/>
      <c r="AE86" s="64"/>
      <c r="AF86" s="118"/>
    </row>
    <row r="87" spans="1:32" ht="25" customHeight="1">
      <c r="A87" s="69"/>
      <c r="B87" s="179"/>
      <c r="C87" s="179"/>
      <c r="D87" s="74"/>
      <c r="E87" s="74"/>
      <c r="F87" s="74"/>
      <c r="G87" s="74"/>
      <c r="H87" s="74"/>
      <c r="I87" s="74"/>
      <c r="J87" s="74"/>
      <c r="K87" s="74"/>
      <c r="L87" s="74"/>
      <c r="M87" s="74"/>
      <c r="N87" s="74"/>
      <c r="O87" s="69"/>
      <c r="P87" s="69"/>
      <c r="Q87" s="69"/>
      <c r="R87" s="69"/>
      <c r="S87" s="69"/>
      <c r="T87" s="69"/>
      <c r="U87" s="69"/>
      <c r="V87" s="69"/>
      <c r="W87" s="69"/>
      <c r="X87" s="69"/>
      <c r="Y87" s="69"/>
      <c r="Z87" s="69"/>
      <c r="AA87" s="69"/>
      <c r="AB87" s="69"/>
      <c r="AC87" s="69"/>
      <c r="AD87" s="69"/>
      <c r="AE87" s="69"/>
      <c r="AF87" s="118"/>
    </row>
    <row r="88" spans="1:32" ht="25" customHeight="1">
      <c r="A88" s="69"/>
      <c r="B88" s="177"/>
      <c r="C88" s="177"/>
      <c r="D88" s="177"/>
      <c r="E88" s="177"/>
      <c r="F88" s="177"/>
      <c r="G88" s="177"/>
      <c r="H88" s="177"/>
      <c r="I88" s="177"/>
      <c r="J88" s="177"/>
      <c r="K88" s="177"/>
      <c r="L88" s="177"/>
      <c r="M88" s="177"/>
      <c r="N88" s="177"/>
      <c r="O88" s="69"/>
      <c r="P88" s="69"/>
      <c r="Q88" s="69"/>
      <c r="R88" s="69"/>
      <c r="S88" s="69"/>
      <c r="T88" s="69"/>
      <c r="U88" s="69"/>
      <c r="V88" s="69"/>
      <c r="W88" s="69"/>
      <c r="X88" s="69"/>
      <c r="Y88" s="69"/>
      <c r="Z88" s="69"/>
      <c r="AA88" s="69"/>
      <c r="AB88" s="69"/>
      <c r="AC88" s="69"/>
      <c r="AD88" s="69"/>
      <c r="AE88" s="69"/>
      <c r="AF88" s="118"/>
    </row>
    <row r="89" spans="1:32" ht="20.25" customHeight="1">
      <c r="A89" s="180"/>
      <c r="B89" s="177"/>
      <c r="C89" s="177"/>
      <c r="D89" s="177"/>
      <c r="E89" s="177"/>
      <c r="F89" s="177"/>
      <c r="G89" s="177"/>
      <c r="H89" s="177"/>
      <c r="I89" s="177"/>
      <c r="J89" s="177"/>
      <c r="K89" s="177"/>
      <c r="L89" s="177"/>
      <c r="M89" s="177"/>
      <c r="N89" s="177"/>
      <c r="O89" s="64"/>
      <c r="P89" s="64"/>
      <c r="Q89" s="64"/>
      <c r="R89" s="64"/>
      <c r="S89" s="64"/>
      <c r="T89" s="64"/>
      <c r="U89" s="64"/>
      <c r="V89" s="64"/>
      <c r="W89" s="64"/>
      <c r="X89" s="64"/>
      <c r="Y89" s="64"/>
      <c r="Z89" s="64"/>
      <c r="AA89" s="64"/>
      <c r="AB89" s="64"/>
      <c r="AC89" s="64"/>
      <c r="AD89" s="64"/>
      <c r="AE89" s="64"/>
      <c r="AF89" s="118"/>
    </row>
    <row r="90" spans="1:32" ht="20.25" customHeight="1">
      <c r="A90" s="73"/>
      <c r="B90" s="177"/>
      <c r="C90" s="177"/>
      <c r="D90" s="177"/>
      <c r="E90" s="177"/>
      <c r="F90" s="177"/>
      <c r="G90" s="177"/>
      <c r="H90" s="177"/>
      <c r="I90" s="177"/>
      <c r="J90" s="177"/>
      <c r="K90" s="177"/>
      <c r="L90" s="177"/>
      <c r="M90" s="177"/>
      <c r="N90" s="177"/>
      <c r="O90" s="74"/>
      <c r="P90" s="74"/>
      <c r="Q90" s="74"/>
      <c r="R90" s="74"/>
      <c r="S90" s="74"/>
      <c r="T90" s="74"/>
      <c r="U90" s="74"/>
      <c r="V90" s="74"/>
      <c r="W90" s="74"/>
      <c r="X90" s="74"/>
      <c r="Y90" s="74"/>
      <c r="Z90" s="74"/>
      <c r="AA90" s="74"/>
      <c r="AB90" s="74"/>
      <c r="AC90" s="74"/>
      <c r="AD90" s="74"/>
      <c r="AE90" s="74"/>
      <c r="AF90" s="118"/>
    </row>
    <row r="91" spans="1:32" ht="20.25" customHeight="1">
      <c r="A91" s="76"/>
      <c r="B91" s="64"/>
      <c r="C91" s="64"/>
      <c r="D91" s="64"/>
      <c r="E91" s="64"/>
      <c r="F91" s="64"/>
      <c r="G91" s="64"/>
      <c r="H91" s="64"/>
      <c r="I91" s="64"/>
      <c r="J91" s="64"/>
      <c r="K91" s="64"/>
      <c r="L91" s="64"/>
      <c r="M91" s="64"/>
      <c r="N91" s="64"/>
      <c r="O91" s="69"/>
      <c r="P91" s="69"/>
      <c r="Q91" s="69"/>
      <c r="R91" s="69"/>
      <c r="S91" s="69"/>
      <c r="T91" s="69"/>
      <c r="U91" s="69"/>
      <c r="V91" s="69"/>
      <c r="W91" s="69"/>
      <c r="X91" s="69"/>
      <c r="Y91" s="69"/>
      <c r="Z91" s="69"/>
      <c r="AA91" s="69"/>
      <c r="AB91" s="69"/>
      <c r="AC91" s="69"/>
      <c r="AD91" s="69"/>
      <c r="AE91" s="69"/>
      <c r="AF91" s="118"/>
    </row>
    <row r="92" spans="1:32" ht="20.25" customHeight="1">
      <c r="A92" s="76"/>
      <c r="B92" s="64"/>
      <c r="C92" s="64"/>
      <c r="D92" s="64"/>
      <c r="E92" s="64"/>
      <c r="F92" s="64"/>
      <c r="G92" s="64"/>
      <c r="H92" s="64"/>
      <c r="I92" s="64"/>
      <c r="J92" s="64"/>
      <c r="K92" s="64"/>
      <c r="L92" s="64"/>
      <c r="M92" s="64"/>
      <c r="N92" s="64"/>
      <c r="O92" s="69"/>
      <c r="P92" s="69"/>
      <c r="Q92" s="69"/>
      <c r="R92" s="69"/>
      <c r="S92" s="69"/>
      <c r="T92" s="69"/>
      <c r="U92" s="69"/>
      <c r="V92" s="69"/>
      <c r="W92" s="69"/>
      <c r="X92" s="69"/>
      <c r="Y92" s="69"/>
      <c r="Z92" s="69"/>
      <c r="AA92" s="69"/>
      <c r="AB92" s="69"/>
      <c r="AC92" s="69"/>
      <c r="AD92" s="69"/>
      <c r="AE92" s="69"/>
      <c r="AF92" s="118"/>
    </row>
    <row r="93" spans="1:32" ht="20.25" customHeight="1">
      <c r="A93" s="74"/>
      <c r="B93" s="64"/>
      <c r="C93" s="64"/>
      <c r="D93" s="64"/>
      <c r="E93" s="64"/>
      <c r="F93" s="64"/>
      <c r="G93" s="64"/>
      <c r="H93" s="64"/>
      <c r="I93" s="64"/>
      <c r="J93" s="64"/>
      <c r="K93" s="64"/>
      <c r="L93" s="64"/>
      <c r="M93" s="64"/>
      <c r="N93" s="64"/>
      <c r="O93" s="74"/>
      <c r="P93" s="74"/>
      <c r="Q93" s="74"/>
      <c r="R93" s="74"/>
      <c r="S93" s="74"/>
      <c r="T93" s="74"/>
      <c r="U93" s="74"/>
      <c r="V93" s="74"/>
      <c r="W93" s="74"/>
      <c r="X93" s="74"/>
      <c r="Y93" s="74"/>
      <c r="Z93" s="74"/>
      <c r="AA93" s="74"/>
      <c r="AB93" s="74"/>
      <c r="AC93" s="74"/>
      <c r="AD93" s="74"/>
      <c r="AE93" s="74"/>
      <c r="AF93" s="118"/>
    </row>
    <row r="94" spans="1:32" ht="20.25" customHeight="1">
      <c r="A94" s="79"/>
      <c r="B94" s="107"/>
      <c r="C94" s="107"/>
      <c r="D94" s="107"/>
      <c r="E94" s="107"/>
      <c r="F94" s="107"/>
      <c r="G94" s="107"/>
      <c r="H94" s="107"/>
      <c r="I94" s="107"/>
      <c r="J94" s="107"/>
      <c r="K94" s="107"/>
      <c r="L94" s="107"/>
      <c r="M94" s="107"/>
      <c r="N94" s="69"/>
      <c r="O94" s="79"/>
      <c r="P94" s="79"/>
      <c r="Q94" s="79"/>
      <c r="R94" s="79"/>
      <c r="S94" s="79"/>
      <c r="T94" s="79"/>
      <c r="U94" s="79"/>
      <c r="V94" s="79"/>
      <c r="W94" s="79"/>
      <c r="X94" s="79"/>
      <c r="Y94" s="79"/>
      <c r="Z94" s="79"/>
      <c r="AA94" s="79"/>
      <c r="AB94" s="79"/>
      <c r="AC94" s="79"/>
      <c r="AD94" s="79"/>
      <c r="AE94" s="79"/>
      <c r="AF94" s="118"/>
    </row>
    <row r="95" spans="1:32" ht="20.25" customHeight="1">
      <c r="A95" s="180"/>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118"/>
    </row>
    <row r="96" spans="1:32" ht="20.25" customHeight="1">
      <c r="A96" s="73"/>
      <c r="B96" s="107"/>
      <c r="C96" s="107"/>
      <c r="D96" s="107"/>
      <c r="E96" s="107"/>
      <c r="F96" s="107"/>
      <c r="G96" s="107"/>
      <c r="H96" s="107"/>
      <c r="I96" s="107"/>
      <c r="J96" s="107"/>
      <c r="K96" s="107"/>
      <c r="L96" s="107"/>
      <c r="M96" s="107"/>
      <c r="N96" s="69"/>
      <c r="O96" s="74"/>
      <c r="P96" s="74"/>
      <c r="Q96" s="74"/>
      <c r="R96" s="74"/>
      <c r="S96" s="74"/>
      <c r="T96" s="74"/>
      <c r="U96" s="74"/>
      <c r="V96" s="74"/>
      <c r="W96" s="74"/>
      <c r="X96" s="74"/>
      <c r="Y96" s="74"/>
      <c r="Z96" s="74"/>
      <c r="AA96" s="74"/>
      <c r="AB96" s="74"/>
      <c r="AC96" s="74"/>
      <c r="AD96" s="74"/>
      <c r="AE96" s="74"/>
      <c r="AF96" s="118"/>
    </row>
    <row r="97" spans="1:32" ht="20.25" customHeight="1">
      <c r="A97" s="76"/>
      <c r="B97" s="107"/>
      <c r="C97" s="107"/>
      <c r="D97" s="107"/>
      <c r="E97" s="107"/>
      <c r="F97" s="107"/>
      <c r="G97" s="107"/>
      <c r="H97" s="107"/>
      <c r="I97" s="107"/>
      <c r="J97" s="107"/>
      <c r="K97" s="107"/>
      <c r="L97" s="107"/>
      <c r="M97" s="107"/>
      <c r="N97" s="69"/>
      <c r="O97" s="69"/>
      <c r="P97" s="69"/>
      <c r="Q97" s="69"/>
      <c r="R97" s="69"/>
      <c r="S97" s="69"/>
      <c r="T97" s="69"/>
      <c r="U97" s="69"/>
      <c r="V97" s="69"/>
      <c r="W97" s="69"/>
      <c r="X97" s="69"/>
      <c r="Y97" s="69"/>
      <c r="Z97" s="69"/>
      <c r="AA97" s="69"/>
      <c r="AB97" s="69"/>
      <c r="AC97" s="69"/>
      <c r="AD97" s="69"/>
      <c r="AE97" s="69"/>
      <c r="AF97" s="118"/>
    </row>
    <row r="98" spans="1:32" ht="20.25" customHeight="1">
      <c r="A98" s="74"/>
      <c r="B98" s="108"/>
      <c r="C98" s="109"/>
      <c r="D98" s="109"/>
      <c r="E98" s="109"/>
      <c r="F98" s="109"/>
      <c r="G98" s="109"/>
      <c r="H98" s="109"/>
      <c r="I98" s="109"/>
      <c r="J98" s="109"/>
      <c r="K98" s="109"/>
      <c r="L98" s="109"/>
      <c r="M98" s="109"/>
      <c r="N98" s="64"/>
      <c r="O98" s="74"/>
      <c r="P98" s="74"/>
      <c r="Q98" s="74"/>
      <c r="R98" s="74"/>
      <c r="S98" s="74"/>
      <c r="T98" s="74"/>
      <c r="U98" s="74"/>
      <c r="V98" s="74"/>
      <c r="W98" s="74"/>
      <c r="X98" s="74"/>
      <c r="Y98" s="74"/>
      <c r="Z98" s="74"/>
      <c r="AA98" s="74"/>
      <c r="AB98" s="74"/>
      <c r="AC98" s="74"/>
      <c r="AD98" s="74"/>
      <c r="AE98" s="74"/>
      <c r="AF98" s="118"/>
    </row>
    <row r="99" spans="1:32" ht="20.25" customHeight="1">
      <c r="A99" s="79"/>
      <c r="B99" s="110"/>
      <c r="C99" s="110"/>
      <c r="D99" s="110"/>
      <c r="E99" s="110"/>
      <c r="F99" s="110"/>
      <c r="G99" s="110"/>
      <c r="H99" s="110"/>
      <c r="I99" s="110"/>
      <c r="J99" s="110"/>
      <c r="K99" s="110"/>
      <c r="L99" s="110"/>
      <c r="M99" s="110"/>
      <c r="N99" s="74"/>
      <c r="O99" s="79"/>
      <c r="P99" s="79"/>
      <c r="Q99" s="79"/>
      <c r="R99" s="79"/>
      <c r="S99" s="79"/>
      <c r="T99" s="79"/>
      <c r="U99" s="79"/>
      <c r="V99" s="79"/>
      <c r="W99" s="79"/>
      <c r="X99" s="79"/>
      <c r="Y99" s="79"/>
      <c r="Z99" s="79"/>
      <c r="AA99" s="79"/>
      <c r="AB99" s="79"/>
      <c r="AC99" s="79"/>
      <c r="AD99" s="79"/>
      <c r="AE99" s="79"/>
      <c r="AF99" s="118"/>
    </row>
    <row r="100" spans="1:32" ht="20.25" customHeight="1">
      <c r="A100" s="180"/>
      <c r="B100" s="108"/>
      <c r="C100" s="110"/>
      <c r="D100" s="110"/>
      <c r="E100" s="110"/>
      <c r="F100" s="110"/>
      <c r="G100" s="110"/>
      <c r="H100" s="107"/>
      <c r="I100" s="107"/>
      <c r="J100" s="107"/>
      <c r="K100" s="107"/>
      <c r="L100" s="107"/>
      <c r="M100" s="107"/>
      <c r="N100" s="69"/>
      <c r="O100" s="64"/>
      <c r="P100" s="64"/>
      <c r="Q100" s="64"/>
      <c r="R100" s="64"/>
      <c r="S100" s="64"/>
      <c r="T100" s="64"/>
      <c r="U100" s="64"/>
      <c r="V100" s="64"/>
      <c r="W100" s="64"/>
      <c r="X100" s="64"/>
      <c r="Y100" s="64"/>
      <c r="Z100" s="64"/>
      <c r="AA100" s="64"/>
      <c r="AB100" s="64"/>
      <c r="AC100" s="64"/>
      <c r="AD100" s="64"/>
      <c r="AE100" s="64"/>
      <c r="AF100" s="118"/>
    </row>
    <row r="101" spans="1:32" ht="20.25" customHeight="1">
      <c r="A101" s="73"/>
      <c r="B101" s="108"/>
      <c r="C101" s="110"/>
      <c r="D101" s="110"/>
      <c r="E101" s="110"/>
      <c r="F101" s="110"/>
      <c r="G101" s="110"/>
      <c r="H101" s="107"/>
      <c r="I101" s="107"/>
      <c r="J101" s="107"/>
      <c r="K101" s="107"/>
      <c r="L101" s="107"/>
      <c r="M101" s="107"/>
      <c r="N101" s="69"/>
      <c r="O101" s="74"/>
      <c r="P101" s="74"/>
      <c r="Q101" s="74"/>
      <c r="R101" s="74"/>
      <c r="S101" s="74"/>
      <c r="T101" s="74"/>
      <c r="U101" s="74"/>
      <c r="V101" s="74"/>
      <c r="W101" s="74"/>
      <c r="X101" s="74"/>
      <c r="Y101" s="74"/>
      <c r="Z101" s="74"/>
      <c r="AA101" s="74"/>
      <c r="AB101" s="74"/>
      <c r="AC101" s="74"/>
      <c r="AD101" s="74"/>
      <c r="AE101" s="74"/>
      <c r="AF101" s="118"/>
    </row>
    <row r="102" spans="1:32" ht="20.25" customHeight="1">
      <c r="A102" s="76"/>
      <c r="B102" s="110"/>
      <c r="C102" s="110"/>
      <c r="D102" s="110"/>
      <c r="E102" s="110"/>
      <c r="F102" s="110"/>
      <c r="G102" s="110"/>
      <c r="H102" s="110"/>
      <c r="I102" s="110"/>
      <c r="J102" s="110"/>
      <c r="K102" s="110"/>
      <c r="L102" s="110"/>
      <c r="M102" s="110"/>
      <c r="N102" s="74"/>
      <c r="O102" s="69"/>
      <c r="P102" s="69"/>
      <c r="Q102" s="69"/>
      <c r="R102" s="69"/>
      <c r="S102" s="69"/>
      <c r="T102" s="69"/>
      <c r="U102" s="69"/>
      <c r="V102" s="69"/>
      <c r="W102" s="69"/>
      <c r="X102" s="69"/>
      <c r="Y102" s="69"/>
      <c r="Z102" s="69"/>
      <c r="AA102" s="69"/>
      <c r="AB102" s="69"/>
      <c r="AC102" s="69"/>
      <c r="AD102" s="69"/>
      <c r="AE102" s="69"/>
      <c r="AF102" s="118"/>
    </row>
    <row r="103" spans="1:32" ht="20.25" customHeight="1">
      <c r="A103" s="76"/>
      <c r="B103" s="111"/>
      <c r="C103" s="111"/>
      <c r="D103" s="110"/>
      <c r="E103" s="111"/>
      <c r="F103" s="111"/>
      <c r="G103" s="111"/>
      <c r="H103" s="111"/>
      <c r="I103" s="111"/>
      <c r="J103" s="111"/>
      <c r="K103" s="111"/>
      <c r="L103" s="111"/>
      <c r="M103" s="111"/>
      <c r="N103" s="79"/>
      <c r="O103" s="69"/>
      <c r="P103" s="69"/>
      <c r="Q103" s="69"/>
      <c r="R103" s="69"/>
      <c r="S103" s="69"/>
      <c r="T103" s="69"/>
      <c r="U103" s="69"/>
      <c r="V103" s="69"/>
      <c r="W103" s="69"/>
      <c r="X103" s="69"/>
      <c r="Y103" s="69"/>
      <c r="Z103" s="69"/>
      <c r="AA103" s="69"/>
      <c r="AB103" s="69"/>
      <c r="AC103" s="69"/>
      <c r="AD103" s="69"/>
      <c r="AE103" s="69"/>
      <c r="AF103" s="118"/>
    </row>
    <row r="104" spans="1:32" ht="20.25" customHeight="1">
      <c r="A104" s="74"/>
      <c r="B104" s="109"/>
      <c r="C104" s="109"/>
      <c r="D104" s="109"/>
      <c r="E104" s="109"/>
      <c r="F104" s="109"/>
      <c r="G104" s="109"/>
      <c r="H104" s="109"/>
      <c r="I104" s="109"/>
      <c r="J104" s="109"/>
      <c r="K104" s="109"/>
      <c r="L104" s="109"/>
      <c r="M104" s="109"/>
      <c r="N104" s="64"/>
      <c r="O104" s="74"/>
      <c r="P104" s="74"/>
      <c r="Q104" s="74"/>
      <c r="R104" s="74"/>
      <c r="S104" s="74"/>
      <c r="T104" s="74"/>
      <c r="U104" s="74"/>
      <c r="V104" s="74"/>
      <c r="W104" s="74"/>
      <c r="X104" s="74"/>
      <c r="Y104" s="74"/>
      <c r="Z104" s="74"/>
      <c r="AA104" s="74"/>
      <c r="AB104" s="74"/>
      <c r="AC104" s="74"/>
      <c r="AD104" s="74"/>
      <c r="AE104" s="74"/>
      <c r="AF104" s="118"/>
    </row>
    <row r="105" spans="1:32" ht="20.25" customHeight="1">
      <c r="A105" s="79"/>
      <c r="B105" s="110"/>
      <c r="C105" s="110"/>
      <c r="D105" s="110"/>
      <c r="E105" s="110"/>
      <c r="F105" s="110"/>
      <c r="G105" s="110"/>
      <c r="H105" s="110"/>
      <c r="I105" s="110"/>
      <c r="J105" s="110"/>
      <c r="K105" s="110"/>
      <c r="L105" s="110"/>
      <c r="M105" s="110"/>
      <c r="N105" s="74"/>
      <c r="O105" s="79"/>
      <c r="P105" s="79"/>
      <c r="Q105" s="79"/>
      <c r="R105" s="79"/>
      <c r="S105" s="79"/>
      <c r="T105" s="79"/>
      <c r="U105" s="79"/>
      <c r="V105" s="79"/>
      <c r="W105" s="79"/>
      <c r="X105" s="79"/>
      <c r="Y105" s="79"/>
      <c r="Z105" s="79"/>
      <c r="AA105" s="79"/>
      <c r="AB105" s="79"/>
      <c r="AC105" s="79"/>
      <c r="AD105" s="79"/>
      <c r="AE105" s="79"/>
      <c r="AF105" s="118"/>
    </row>
    <row r="106" spans="1:32" ht="20.25" customHeight="1">
      <c r="A106" s="82"/>
      <c r="B106" s="107"/>
      <c r="C106" s="110"/>
      <c r="D106" s="110"/>
      <c r="E106" s="110"/>
      <c r="F106" s="110"/>
      <c r="G106" s="110"/>
      <c r="H106" s="107"/>
      <c r="I106" s="107"/>
      <c r="J106" s="107"/>
      <c r="K106" s="107"/>
      <c r="L106" s="107"/>
      <c r="M106" s="107"/>
      <c r="N106" s="69"/>
      <c r="O106" s="82"/>
      <c r="P106" s="82"/>
      <c r="Q106" s="82"/>
      <c r="R106" s="82"/>
      <c r="S106" s="82"/>
      <c r="T106" s="82"/>
      <c r="U106" s="82"/>
      <c r="V106" s="82"/>
      <c r="W106" s="82"/>
      <c r="X106" s="82"/>
      <c r="Y106" s="82"/>
      <c r="Z106" s="82"/>
      <c r="AA106" s="82"/>
      <c r="AB106" s="82"/>
      <c r="AC106" s="82"/>
      <c r="AD106" s="82"/>
      <c r="AE106" s="82"/>
      <c r="AF106" s="118"/>
    </row>
    <row r="107" spans="1:32" ht="20.25" customHeight="1">
      <c r="A107" s="74"/>
      <c r="B107" s="110"/>
      <c r="C107" s="110"/>
      <c r="D107" s="110"/>
      <c r="E107" s="110"/>
      <c r="F107" s="110"/>
      <c r="G107" s="110"/>
      <c r="H107" s="110"/>
      <c r="I107" s="110"/>
      <c r="J107" s="110"/>
      <c r="K107" s="110"/>
      <c r="L107" s="110"/>
      <c r="M107" s="110"/>
      <c r="N107" s="74"/>
      <c r="O107" s="74"/>
      <c r="P107" s="74"/>
      <c r="Q107" s="74"/>
      <c r="R107" s="74"/>
      <c r="S107" s="74"/>
      <c r="T107" s="74"/>
      <c r="U107" s="74"/>
      <c r="V107" s="74"/>
      <c r="W107" s="74"/>
      <c r="X107" s="74"/>
      <c r="Y107" s="74"/>
      <c r="Z107" s="74"/>
      <c r="AA107" s="74"/>
      <c r="AB107" s="74"/>
      <c r="AC107" s="74"/>
      <c r="AD107" s="74"/>
      <c r="AE107" s="74"/>
      <c r="AF107" s="118"/>
    </row>
    <row r="108" spans="1:32" ht="20.25" customHeight="1">
      <c r="A108" s="74"/>
      <c r="B108" s="111"/>
      <c r="C108" s="111"/>
      <c r="D108" s="110"/>
      <c r="E108" s="111"/>
      <c r="F108" s="111"/>
      <c r="G108" s="111"/>
      <c r="H108" s="111"/>
      <c r="I108" s="111"/>
      <c r="J108" s="111"/>
      <c r="K108" s="111"/>
      <c r="L108" s="111"/>
      <c r="M108" s="111"/>
      <c r="N108" s="79"/>
      <c r="O108" s="74"/>
      <c r="P108" s="74"/>
      <c r="Q108" s="74"/>
      <c r="R108" s="74"/>
      <c r="S108" s="74"/>
      <c r="T108" s="74"/>
      <c r="U108" s="74"/>
      <c r="V108" s="74"/>
      <c r="W108" s="74"/>
      <c r="X108" s="74"/>
      <c r="Y108" s="74"/>
      <c r="Z108" s="74"/>
      <c r="AA108" s="74"/>
      <c r="AB108" s="74"/>
      <c r="AC108" s="74"/>
      <c r="AD108" s="74"/>
      <c r="AE108" s="74"/>
      <c r="AF108" s="118"/>
    </row>
    <row r="109" spans="1:32" ht="20.25" customHeight="1">
      <c r="A109" s="64"/>
      <c r="B109" s="109"/>
      <c r="C109" s="109"/>
      <c r="D109" s="109"/>
      <c r="E109" s="109"/>
      <c r="F109" s="109"/>
      <c r="G109" s="109"/>
      <c r="H109" s="109"/>
      <c r="I109" s="109"/>
      <c r="J109" s="109"/>
      <c r="K109" s="109"/>
      <c r="L109" s="109"/>
      <c r="M109" s="109"/>
      <c r="N109" s="64"/>
      <c r="O109" s="64"/>
      <c r="P109" s="64"/>
      <c r="Q109" s="64"/>
      <c r="R109" s="64"/>
      <c r="S109" s="64"/>
      <c r="T109" s="64"/>
      <c r="U109" s="64"/>
      <c r="V109" s="64"/>
      <c r="W109" s="64"/>
      <c r="X109" s="64"/>
      <c r="Y109" s="64"/>
      <c r="Z109" s="64"/>
      <c r="AA109" s="64"/>
      <c r="AB109" s="64"/>
      <c r="AC109" s="64"/>
      <c r="AD109" s="64"/>
      <c r="AE109" s="64"/>
      <c r="AF109" s="118"/>
    </row>
    <row r="110" spans="1:32" ht="20.25" customHeight="1">
      <c r="A110" s="76"/>
      <c r="B110" s="110"/>
      <c r="C110" s="110"/>
      <c r="D110" s="110"/>
      <c r="E110" s="110"/>
      <c r="F110" s="110"/>
      <c r="G110" s="110"/>
      <c r="H110" s="110"/>
      <c r="I110" s="110"/>
      <c r="J110" s="110"/>
      <c r="K110" s="110"/>
      <c r="L110" s="110"/>
      <c r="M110" s="110"/>
      <c r="N110" s="74"/>
      <c r="O110" s="69"/>
      <c r="P110" s="69"/>
      <c r="Q110" s="69"/>
      <c r="R110" s="69"/>
      <c r="S110" s="69"/>
      <c r="T110" s="69"/>
      <c r="U110" s="69"/>
      <c r="V110" s="69"/>
      <c r="W110" s="69"/>
      <c r="X110" s="69"/>
      <c r="Y110" s="69"/>
      <c r="Z110" s="69"/>
      <c r="AA110" s="69"/>
      <c r="AB110" s="69"/>
      <c r="AC110" s="69"/>
      <c r="AD110" s="69"/>
      <c r="AE110" s="69"/>
      <c r="AF110" s="118"/>
    </row>
    <row r="111" spans="1:32" ht="20.25" customHeight="1">
      <c r="A111" s="76"/>
      <c r="B111" s="107"/>
      <c r="C111" s="110"/>
      <c r="D111" s="110"/>
      <c r="E111" s="110"/>
      <c r="F111" s="110"/>
      <c r="G111" s="110"/>
      <c r="H111" s="107"/>
      <c r="I111" s="107"/>
      <c r="J111" s="107"/>
      <c r="K111" s="107"/>
      <c r="L111" s="107"/>
      <c r="M111" s="107"/>
      <c r="N111" s="69"/>
      <c r="O111" s="69"/>
      <c r="P111" s="69"/>
      <c r="Q111" s="69"/>
      <c r="R111" s="69"/>
      <c r="S111" s="69"/>
      <c r="T111" s="69"/>
      <c r="U111" s="69"/>
      <c r="V111" s="69"/>
      <c r="W111" s="69"/>
      <c r="X111" s="69"/>
      <c r="Y111" s="69"/>
      <c r="Z111" s="69"/>
      <c r="AA111" s="69"/>
      <c r="AB111" s="69"/>
      <c r="AC111" s="69"/>
      <c r="AD111" s="69"/>
      <c r="AE111" s="69"/>
      <c r="AF111" s="118"/>
    </row>
    <row r="112" spans="1:32" ht="20.25" customHeight="1">
      <c r="A112" s="74"/>
      <c r="B112" s="107"/>
      <c r="C112" s="110"/>
      <c r="D112" s="110"/>
      <c r="E112" s="110"/>
      <c r="F112" s="110"/>
      <c r="G112" s="110"/>
      <c r="H112" s="107"/>
      <c r="I112" s="107"/>
      <c r="J112" s="107"/>
      <c r="K112" s="107"/>
      <c r="L112" s="107"/>
      <c r="M112" s="107"/>
      <c r="N112" s="69"/>
      <c r="O112" s="74"/>
      <c r="P112" s="74"/>
      <c r="Q112" s="74"/>
      <c r="R112" s="74"/>
      <c r="S112" s="74"/>
      <c r="T112" s="74"/>
      <c r="U112" s="74"/>
      <c r="V112" s="74"/>
      <c r="W112" s="74"/>
      <c r="X112" s="74"/>
      <c r="Y112" s="74"/>
      <c r="Z112" s="74"/>
      <c r="AA112" s="74"/>
      <c r="AB112" s="74"/>
      <c r="AC112" s="74"/>
      <c r="AD112" s="74"/>
      <c r="AE112" s="74"/>
      <c r="AF112" s="118"/>
    </row>
    <row r="113" spans="1:32" ht="20.25" customHeight="1">
      <c r="A113" s="64"/>
      <c r="B113" s="110"/>
      <c r="C113" s="110"/>
      <c r="D113" s="110"/>
      <c r="E113" s="110"/>
      <c r="F113" s="110"/>
      <c r="G113" s="110"/>
      <c r="H113" s="110"/>
      <c r="I113" s="110"/>
      <c r="J113" s="110"/>
      <c r="K113" s="110"/>
      <c r="L113" s="110"/>
      <c r="M113" s="110"/>
      <c r="N113" s="74"/>
      <c r="O113" s="64"/>
      <c r="P113" s="64"/>
      <c r="Q113" s="64"/>
      <c r="R113" s="64"/>
      <c r="S113" s="64"/>
      <c r="T113" s="64"/>
      <c r="U113" s="64"/>
      <c r="V113" s="64"/>
      <c r="W113" s="64"/>
      <c r="X113" s="64"/>
      <c r="Y113" s="64"/>
      <c r="Z113" s="64"/>
      <c r="AA113" s="64"/>
      <c r="AB113" s="64"/>
      <c r="AC113" s="64"/>
      <c r="AD113" s="64"/>
      <c r="AE113" s="64"/>
      <c r="AF113" s="118"/>
    </row>
    <row r="114" spans="1:32" ht="20.25" customHeight="1">
      <c r="A114" s="76"/>
      <c r="B114" s="111"/>
      <c r="C114" s="111"/>
      <c r="D114" s="110"/>
      <c r="E114" s="111"/>
      <c r="F114" s="111"/>
      <c r="G114" s="111"/>
      <c r="H114" s="111"/>
      <c r="I114" s="111"/>
      <c r="J114" s="111"/>
      <c r="K114" s="111"/>
      <c r="L114" s="111"/>
      <c r="M114" s="111"/>
      <c r="N114" s="79"/>
      <c r="O114" s="69"/>
      <c r="P114" s="69"/>
      <c r="Q114" s="69"/>
      <c r="R114" s="69"/>
      <c r="S114" s="69"/>
      <c r="T114" s="69"/>
      <c r="U114" s="69"/>
      <c r="V114" s="69"/>
      <c r="W114" s="69"/>
      <c r="X114" s="69"/>
      <c r="Y114" s="69"/>
      <c r="Z114" s="69"/>
      <c r="AA114" s="69"/>
      <c r="AB114" s="69"/>
      <c r="AC114" s="69"/>
      <c r="AD114" s="69"/>
      <c r="AE114" s="69"/>
      <c r="AF114" s="118"/>
    </row>
    <row r="115" spans="1:32" ht="20.25" customHeight="1">
      <c r="A115" s="76"/>
      <c r="B115" s="181"/>
      <c r="C115" s="181"/>
      <c r="D115" s="181"/>
      <c r="E115" s="181"/>
      <c r="F115" s="181"/>
      <c r="G115" s="181"/>
      <c r="H115" s="181"/>
      <c r="I115" s="181"/>
      <c r="J115" s="181"/>
      <c r="K115" s="181"/>
      <c r="L115" s="181"/>
      <c r="M115" s="181"/>
      <c r="N115" s="82"/>
      <c r="O115" s="69"/>
      <c r="P115" s="69"/>
      <c r="Q115" s="69"/>
      <c r="R115" s="69"/>
      <c r="S115" s="69"/>
      <c r="T115" s="69"/>
      <c r="U115" s="69"/>
      <c r="V115" s="69"/>
      <c r="W115" s="69"/>
      <c r="X115" s="69"/>
      <c r="Y115" s="69"/>
      <c r="Z115" s="69"/>
      <c r="AA115" s="69"/>
      <c r="AB115" s="69"/>
      <c r="AC115" s="69"/>
      <c r="AD115" s="69"/>
      <c r="AE115" s="69"/>
      <c r="AF115" s="118"/>
    </row>
    <row r="116" spans="1:32" ht="20.25" customHeight="1">
      <c r="A116" s="74"/>
      <c r="B116" s="110"/>
      <c r="C116" s="110"/>
      <c r="D116" s="110"/>
      <c r="E116" s="110"/>
      <c r="F116" s="110"/>
      <c r="G116" s="110"/>
      <c r="H116" s="110"/>
      <c r="I116" s="110"/>
      <c r="J116" s="110"/>
      <c r="K116" s="110"/>
      <c r="L116" s="110"/>
      <c r="M116" s="110"/>
      <c r="N116" s="74"/>
      <c r="O116" s="74"/>
      <c r="P116" s="74"/>
      <c r="Q116" s="74"/>
      <c r="R116" s="74"/>
      <c r="S116" s="74"/>
      <c r="T116" s="74"/>
      <c r="U116" s="74"/>
      <c r="V116" s="74"/>
      <c r="W116" s="74"/>
      <c r="X116" s="74"/>
      <c r="Y116" s="74"/>
      <c r="Z116" s="74"/>
      <c r="AA116" s="74"/>
      <c r="AB116" s="74"/>
      <c r="AC116" s="74"/>
      <c r="AD116" s="74"/>
      <c r="AE116" s="74"/>
      <c r="AF116" s="118"/>
    </row>
    <row r="117" spans="1:32" ht="20.25" customHeight="1">
      <c r="A117" s="79"/>
      <c r="B117" s="108"/>
      <c r="C117" s="110"/>
      <c r="D117" s="110"/>
      <c r="E117" s="110"/>
      <c r="F117" s="110"/>
      <c r="G117" s="110"/>
      <c r="H117" s="110"/>
      <c r="I117" s="110"/>
      <c r="J117" s="110"/>
      <c r="K117" s="110"/>
      <c r="L117" s="110"/>
      <c r="M117" s="110"/>
      <c r="N117" s="74"/>
      <c r="O117" s="79"/>
      <c r="P117" s="79"/>
      <c r="Q117" s="79"/>
      <c r="R117" s="79"/>
      <c r="S117" s="79"/>
      <c r="T117" s="79"/>
      <c r="U117" s="79"/>
      <c r="V117" s="79"/>
      <c r="W117" s="79"/>
      <c r="X117" s="79"/>
      <c r="Y117" s="79"/>
      <c r="Z117" s="79"/>
      <c r="AA117" s="79"/>
      <c r="AB117" s="79"/>
      <c r="AC117" s="79"/>
      <c r="AD117" s="79"/>
      <c r="AE117" s="79"/>
      <c r="AF117" s="118"/>
    </row>
    <row r="118" spans="1:32" ht="20.25" customHeight="1">
      <c r="A118" s="74"/>
      <c r="B118" s="109"/>
      <c r="C118" s="109"/>
      <c r="D118" s="109"/>
      <c r="E118" s="109"/>
      <c r="F118" s="109"/>
      <c r="G118" s="109"/>
      <c r="H118" s="109"/>
      <c r="I118" s="109"/>
      <c r="J118" s="109"/>
      <c r="K118" s="109"/>
      <c r="L118" s="109"/>
      <c r="M118" s="109"/>
      <c r="N118" s="64"/>
      <c r="O118" s="74"/>
      <c r="P118" s="74"/>
      <c r="Q118" s="74"/>
      <c r="R118" s="74"/>
      <c r="S118" s="74"/>
      <c r="T118" s="74"/>
      <c r="U118" s="74"/>
      <c r="V118" s="74"/>
      <c r="W118" s="74"/>
      <c r="X118" s="74"/>
      <c r="Y118" s="74"/>
      <c r="Z118" s="74"/>
      <c r="AA118" s="74"/>
      <c r="AB118" s="74"/>
      <c r="AC118" s="74"/>
      <c r="AD118" s="74"/>
      <c r="AE118" s="74"/>
      <c r="AF118" s="118"/>
    </row>
    <row r="119" spans="1:32" ht="20.25" customHeight="1">
      <c r="A119" s="64"/>
      <c r="B119" s="107"/>
      <c r="C119" s="110"/>
      <c r="D119" s="110"/>
      <c r="E119" s="110"/>
      <c r="F119" s="110"/>
      <c r="G119" s="110"/>
      <c r="H119" s="107"/>
      <c r="I119" s="107"/>
      <c r="J119" s="107"/>
      <c r="K119" s="107"/>
      <c r="L119" s="107"/>
      <c r="M119" s="107"/>
      <c r="N119" s="69"/>
      <c r="O119" s="64"/>
      <c r="P119" s="64"/>
      <c r="Q119" s="64"/>
      <c r="R119" s="64"/>
      <c r="S119" s="64"/>
      <c r="T119" s="64"/>
      <c r="U119" s="64"/>
      <c r="V119" s="64"/>
      <c r="W119" s="64"/>
      <c r="X119" s="64"/>
      <c r="Y119" s="64"/>
      <c r="Z119" s="64"/>
      <c r="AA119" s="64"/>
      <c r="AB119" s="64"/>
      <c r="AC119" s="64"/>
      <c r="AD119" s="64"/>
      <c r="AE119" s="64"/>
      <c r="AF119" s="118"/>
    </row>
    <row r="120" spans="1:32" ht="20.25" customHeight="1">
      <c r="A120" s="64"/>
      <c r="B120" s="76"/>
      <c r="C120" s="74"/>
      <c r="D120" s="74"/>
      <c r="E120" s="74"/>
      <c r="F120" s="74"/>
      <c r="G120" s="74"/>
      <c r="H120" s="69"/>
      <c r="I120" s="69"/>
      <c r="J120" s="69"/>
      <c r="K120" s="69"/>
      <c r="L120" s="69"/>
      <c r="M120" s="69"/>
      <c r="N120" s="69"/>
      <c r="O120" s="64"/>
      <c r="P120" s="64"/>
      <c r="Q120" s="64"/>
      <c r="R120" s="64"/>
      <c r="S120" s="64"/>
      <c r="T120" s="64"/>
      <c r="U120" s="64"/>
      <c r="V120" s="64"/>
      <c r="W120" s="64"/>
      <c r="X120" s="64"/>
      <c r="Y120" s="64"/>
      <c r="Z120" s="64"/>
      <c r="AA120" s="64"/>
      <c r="AB120" s="64"/>
      <c r="AC120" s="64"/>
      <c r="AD120" s="64"/>
      <c r="AE120" s="64"/>
      <c r="AF120" s="118"/>
    </row>
    <row r="121" spans="1:32" ht="20.25" customHeight="1">
      <c r="A121" s="64"/>
      <c r="B121" s="73"/>
      <c r="C121" s="74"/>
      <c r="D121" s="74"/>
      <c r="E121" s="74"/>
      <c r="F121" s="74"/>
      <c r="G121" s="74"/>
      <c r="H121" s="74"/>
      <c r="I121" s="74"/>
      <c r="J121" s="74"/>
      <c r="K121" s="74"/>
      <c r="L121" s="74"/>
      <c r="M121" s="74"/>
      <c r="N121" s="74"/>
      <c r="O121" s="64"/>
      <c r="P121" s="64"/>
      <c r="Q121" s="64"/>
      <c r="R121" s="64"/>
      <c r="S121" s="64"/>
      <c r="T121" s="64"/>
      <c r="U121" s="64"/>
      <c r="V121" s="64"/>
      <c r="W121" s="64"/>
      <c r="X121" s="64"/>
      <c r="Y121" s="64"/>
      <c r="Z121" s="64"/>
      <c r="AA121" s="64"/>
      <c r="AB121" s="64"/>
      <c r="AC121" s="64"/>
      <c r="AD121" s="64"/>
      <c r="AE121" s="64"/>
      <c r="AF121" s="118"/>
    </row>
    <row r="122" spans="1:32" ht="17.25" customHeight="1">
      <c r="A122" s="64"/>
      <c r="B122" s="109"/>
      <c r="C122" s="109"/>
      <c r="D122" s="109"/>
      <c r="E122" s="109"/>
      <c r="F122" s="109"/>
      <c r="G122" s="109"/>
      <c r="H122" s="109"/>
      <c r="I122" s="109"/>
      <c r="J122" s="109"/>
      <c r="K122" s="109"/>
      <c r="L122" s="109"/>
      <c r="M122" s="109"/>
      <c r="N122" s="64"/>
      <c r="O122" s="74"/>
      <c r="P122" s="74"/>
      <c r="Q122" s="74"/>
      <c r="R122" s="74"/>
      <c r="S122" s="74"/>
      <c r="T122" s="74"/>
      <c r="U122" s="74"/>
      <c r="V122" s="74"/>
      <c r="W122" s="74"/>
      <c r="X122" s="74"/>
      <c r="Y122" s="74"/>
      <c r="Z122" s="74"/>
      <c r="AA122" s="74"/>
      <c r="AB122" s="74"/>
      <c r="AC122" s="64"/>
      <c r="AD122" s="64"/>
      <c r="AE122" s="64"/>
      <c r="AF122" s="118"/>
    </row>
    <row r="123" spans="1:32" ht="25" customHeight="1">
      <c r="A123" s="74"/>
      <c r="B123" s="107"/>
      <c r="C123" s="110"/>
      <c r="D123" s="110"/>
      <c r="E123" s="110"/>
      <c r="F123" s="110"/>
      <c r="G123" s="110"/>
      <c r="H123" s="107"/>
      <c r="I123" s="107"/>
      <c r="J123" s="107"/>
      <c r="K123" s="107"/>
      <c r="L123" s="107"/>
      <c r="M123" s="107"/>
      <c r="N123" s="69"/>
      <c r="O123" s="74"/>
      <c r="P123" s="74"/>
      <c r="Q123" s="74"/>
      <c r="R123" s="74"/>
      <c r="S123" s="74"/>
      <c r="T123" s="74"/>
      <c r="U123" s="74"/>
      <c r="V123" s="74"/>
      <c r="W123" s="74"/>
      <c r="X123" s="74"/>
      <c r="Y123" s="74"/>
      <c r="Z123" s="74"/>
      <c r="AA123" s="74"/>
      <c r="AB123" s="74"/>
      <c r="AC123" s="64"/>
      <c r="AD123" s="64"/>
      <c r="AE123" s="74"/>
      <c r="AF123" s="118"/>
    </row>
    <row r="124" spans="1:32" ht="30" customHeight="1">
      <c r="A124" s="74"/>
      <c r="B124" s="76"/>
      <c r="C124" s="74"/>
      <c r="D124" s="74"/>
      <c r="E124" s="74"/>
      <c r="F124" s="74"/>
      <c r="G124" s="74"/>
      <c r="H124" s="69"/>
      <c r="I124" s="69"/>
      <c r="J124" s="69"/>
      <c r="K124" s="69"/>
      <c r="L124" s="69"/>
      <c r="M124" s="69"/>
      <c r="N124" s="69"/>
      <c r="O124" s="85"/>
      <c r="P124" s="85"/>
      <c r="Q124" s="85"/>
      <c r="R124" s="85"/>
      <c r="S124" s="85"/>
      <c r="T124" s="85"/>
      <c r="U124" s="85"/>
      <c r="V124" s="85"/>
      <c r="W124" s="85"/>
      <c r="X124" s="85"/>
      <c r="Y124" s="85"/>
      <c r="Z124" s="85"/>
      <c r="AA124" s="85"/>
      <c r="AB124" s="85"/>
      <c r="AC124" s="74"/>
      <c r="AD124" s="74"/>
      <c r="AE124" s="74"/>
      <c r="AF124" s="118"/>
    </row>
    <row r="125" spans="1:32" s="184" customFormat="1" ht="30" customHeight="1">
      <c r="A125" s="114"/>
      <c r="B125" s="73"/>
      <c r="C125" s="74"/>
      <c r="D125" s="74"/>
      <c r="E125" s="74"/>
      <c r="F125" s="74"/>
      <c r="G125" s="74"/>
      <c r="H125" s="74"/>
      <c r="I125" s="74"/>
      <c r="J125" s="74"/>
      <c r="K125" s="74"/>
      <c r="L125" s="74"/>
      <c r="M125" s="74"/>
      <c r="N125" s="74"/>
      <c r="O125" s="182"/>
      <c r="P125" s="182"/>
      <c r="Q125" s="182"/>
      <c r="R125" s="182"/>
      <c r="S125" s="182"/>
      <c r="T125" s="182"/>
      <c r="U125" s="182"/>
      <c r="V125" s="182"/>
      <c r="W125" s="182"/>
      <c r="X125" s="182"/>
      <c r="Y125" s="182"/>
      <c r="Z125" s="182"/>
      <c r="AA125" s="182"/>
      <c r="AB125" s="183"/>
      <c r="AC125" s="114"/>
      <c r="AD125" s="114"/>
      <c r="AE125" s="114"/>
      <c r="AF125" s="118"/>
    </row>
    <row r="126" spans="1:32" ht="30" customHeight="1">
      <c r="A126" s="82"/>
      <c r="B126" s="79"/>
      <c r="C126" s="79"/>
      <c r="D126" s="74"/>
      <c r="E126" s="79"/>
      <c r="F126" s="79"/>
      <c r="G126" s="79"/>
      <c r="H126" s="79"/>
      <c r="I126" s="79"/>
      <c r="J126" s="79"/>
      <c r="K126" s="79"/>
      <c r="L126" s="79"/>
      <c r="M126" s="79"/>
      <c r="N126" s="79"/>
      <c r="O126" s="185"/>
      <c r="P126" s="185"/>
      <c r="Q126" s="185"/>
      <c r="R126" s="185"/>
      <c r="S126" s="185"/>
      <c r="T126" s="186"/>
      <c r="U126" s="186"/>
      <c r="V126" s="186"/>
      <c r="W126" s="186"/>
      <c r="X126" s="186"/>
      <c r="Y126" s="186"/>
      <c r="Z126" s="186"/>
      <c r="AA126" s="186"/>
      <c r="AB126" s="187"/>
      <c r="AC126" s="82"/>
      <c r="AD126" s="82"/>
      <c r="AE126" s="82"/>
      <c r="AF126" s="118"/>
    </row>
    <row r="127" spans="1:32" ht="30" customHeight="1">
      <c r="A127" s="74"/>
      <c r="B127" s="73"/>
      <c r="C127" s="74"/>
      <c r="D127" s="74"/>
      <c r="E127" s="74"/>
      <c r="F127" s="74"/>
      <c r="G127" s="74"/>
      <c r="H127" s="74"/>
      <c r="I127" s="74"/>
      <c r="J127" s="74"/>
      <c r="K127" s="74"/>
      <c r="L127" s="74"/>
      <c r="M127" s="74"/>
      <c r="N127" s="74"/>
      <c r="O127" s="188"/>
      <c r="P127" s="188"/>
      <c r="Q127" s="188"/>
      <c r="R127" s="188"/>
      <c r="S127" s="188"/>
      <c r="T127" s="189"/>
      <c r="U127" s="189"/>
      <c r="V127" s="189"/>
      <c r="W127" s="189"/>
      <c r="X127" s="189"/>
      <c r="Y127" s="189"/>
      <c r="Z127" s="189"/>
      <c r="AA127" s="189"/>
      <c r="AB127" s="190"/>
      <c r="AC127" s="74"/>
      <c r="AD127" s="74"/>
      <c r="AE127" s="74"/>
      <c r="AF127" s="118"/>
    </row>
    <row r="128" spans="1:32" ht="30" customHeight="1">
      <c r="A128" s="74"/>
      <c r="B128" s="59"/>
      <c r="C128" s="64"/>
      <c r="D128" s="64"/>
      <c r="E128" s="64"/>
      <c r="F128" s="64"/>
      <c r="G128" s="64"/>
      <c r="H128" s="64"/>
      <c r="I128" s="64"/>
      <c r="J128" s="64"/>
      <c r="K128" s="64"/>
      <c r="L128" s="64"/>
      <c r="M128" s="64"/>
      <c r="N128" s="64"/>
      <c r="O128" s="188"/>
      <c r="P128" s="188"/>
      <c r="Q128" s="188"/>
      <c r="R128" s="188"/>
      <c r="S128" s="188"/>
      <c r="T128" s="189"/>
      <c r="U128" s="189"/>
      <c r="V128" s="189"/>
      <c r="W128" s="189"/>
      <c r="X128" s="189"/>
      <c r="Y128" s="189"/>
      <c r="Z128" s="189"/>
      <c r="AA128" s="189"/>
      <c r="AB128" s="190"/>
      <c r="AC128" s="74"/>
      <c r="AD128" s="74"/>
      <c r="AE128" s="74"/>
      <c r="AF128" s="118"/>
    </row>
    <row r="129" spans="1:32" ht="30" customHeight="1">
      <c r="A129" s="74"/>
      <c r="B129" s="59"/>
      <c r="C129" s="64"/>
      <c r="D129" s="64"/>
      <c r="E129" s="64"/>
      <c r="F129" s="64"/>
      <c r="G129" s="64"/>
      <c r="H129" s="64"/>
      <c r="I129" s="64"/>
      <c r="J129" s="64"/>
      <c r="K129" s="64"/>
      <c r="L129" s="64"/>
      <c r="M129" s="64"/>
      <c r="N129" s="64"/>
      <c r="O129" s="188"/>
      <c r="P129" s="188"/>
      <c r="Q129" s="188"/>
      <c r="R129" s="188"/>
      <c r="S129" s="188"/>
      <c r="T129" s="189"/>
      <c r="U129" s="189"/>
      <c r="V129" s="189"/>
      <c r="W129" s="189"/>
      <c r="X129" s="189"/>
      <c r="Y129" s="189"/>
      <c r="Z129" s="189"/>
      <c r="AA129" s="189"/>
      <c r="AB129" s="190"/>
      <c r="AC129" s="74"/>
      <c r="AD129" s="74"/>
      <c r="AE129" s="74"/>
      <c r="AF129" s="118"/>
    </row>
    <row r="130" spans="1:32" ht="30" customHeight="1">
      <c r="A130" s="64"/>
      <c r="B130" s="59"/>
      <c r="C130" s="64"/>
      <c r="D130" s="64"/>
      <c r="E130" s="64"/>
      <c r="F130" s="64"/>
      <c r="G130" s="64"/>
      <c r="H130" s="64"/>
      <c r="I130" s="64"/>
      <c r="J130" s="64"/>
      <c r="K130" s="64"/>
      <c r="L130" s="64"/>
      <c r="M130" s="64"/>
      <c r="N130" s="64"/>
      <c r="O130" s="188"/>
      <c r="P130" s="188"/>
      <c r="Q130" s="188"/>
      <c r="R130" s="188"/>
      <c r="S130" s="188"/>
      <c r="T130" s="189"/>
      <c r="U130" s="189"/>
      <c r="V130" s="189"/>
      <c r="W130" s="189"/>
      <c r="X130" s="189"/>
      <c r="Y130" s="189"/>
      <c r="Z130" s="189"/>
      <c r="AA130" s="189"/>
      <c r="AB130" s="190"/>
      <c r="AC130" s="64"/>
      <c r="AD130" s="64"/>
      <c r="AE130" s="64"/>
      <c r="AF130" s="118"/>
    </row>
    <row r="131" spans="1:32" ht="30" customHeight="1">
      <c r="A131" s="64"/>
      <c r="B131" s="59"/>
      <c r="C131" s="64"/>
      <c r="D131" s="64"/>
      <c r="E131" s="64"/>
      <c r="F131" s="64"/>
      <c r="G131" s="64"/>
      <c r="H131" s="74"/>
      <c r="I131" s="74"/>
      <c r="J131" s="74"/>
      <c r="K131" s="74"/>
      <c r="L131" s="74"/>
      <c r="M131" s="74"/>
      <c r="N131" s="74"/>
      <c r="O131" s="185"/>
      <c r="P131" s="185"/>
      <c r="Q131" s="185"/>
      <c r="R131" s="185"/>
      <c r="S131" s="185"/>
      <c r="T131" s="185"/>
      <c r="U131" s="185"/>
      <c r="V131" s="185"/>
      <c r="W131" s="185"/>
      <c r="X131" s="185"/>
      <c r="Y131" s="185"/>
      <c r="Z131" s="185"/>
      <c r="AA131" s="185"/>
      <c r="AB131" s="191"/>
      <c r="AC131" s="64"/>
      <c r="AD131" s="64"/>
      <c r="AE131" s="64"/>
      <c r="AF131" s="118"/>
    </row>
    <row r="132" spans="1:32" ht="20.25" customHeight="1">
      <c r="A132" s="64"/>
      <c r="B132" s="112"/>
      <c r="C132" s="74"/>
      <c r="D132" s="74"/>
      <c r="E132" s="74"/>
      <c r="F132" s="74"/>
      <c r="G132" s="74"/>
      <c r="H132" s="74"/>
      <c r="I132" s="74"/>
      <c r="J132" s="74"/>
      <c r="K132" s="74"/>
      <c r="L132" s="74"/>
      <c r="M132" s="74"/>
      <c r="N132" s="74"/>
      <c r="O132" s="64"/>
      <c r="P132" s="64"/>
      <c r="Q132" s="64"/>
      <c r="R132" s="64"/>
      <c r="S132" s="64"/>
      <c r="T132" s="64"/>
      <c r="U132" s="64"/>
      <c r="V132" s="64"/>
      <c r="W132" s="64"/>
      <c r="X132" s="64"/>
      <c r="Y132" s="64"/>
      <c r="Z132" s="64"/>
      <c r="AA132" s="64"/>
      <c r="AB132" s="64"/>
      <c r="AC132" s="64"/>
      <c r="AD132" s="64"/>
      <c r="AE132" s="64"/>
      <c r="AF132" s="118"/>
    </row>
    <row r="133" spans="1:32" ht="20.25" customHeight="1">
      <c r="A133" s="64"/>
      <c r="B133" s="113"/>
      <c r="C133" s="84"/>
      <c r="D133" s="84"/>
      <c r="E133" s="84"/>
      <c r="F133" s="84"/>
      <c r="G133" s="84"/>
      <c r="H133" s="85"/>
      <c r="I133" s="85"/>
      <c r="J133" s="85"/>
      <c r="K133" s="85"/>
      <c r="L133" s="85"/>
      <c r="M133" s="85"/>
      <c r="N133" s="85"/>
      <c r="O133" s="64"/>
      <c r="P133" s="64"/>
      <c r="Q133" s="64"/>
      <c r="R133" s="64"/>
      <c r="S133" s="64"/>
      <c r="T133" s="64"/>
      <c r="U133" s="64"/>
      <c r="V133" s="64"/>
      <c r="W133" s="64"/>
      <c r="X133" s="64"/>
      <c r="Y133" s="64"/>
      <c r="Z133" s="64"/>
      <c r="AA133" s="64"/>
      <c r="AB133" s="64"/>
      <c r="AC133" s="64"/>
      <c r="AD133" s="64"/>
      <c r="AE133" s="64"/>
      <c r="AF133" s="118"/>
    </row>
    <row r="134" spans="1:32" ht="20.25" customHeight="1">
      <c r="A134" s="64"/>
      <c r="B134" s="182"/>
      <c r="C134" s="182"/>
      <c r="D134" s="182"/>
      <c r="E134" s="182"/>
      <c r="F134" s="182"/>
      <c r="G134" s="182"/>
      <c r="H134" s="182"/>
      <c r="I134" s="182"/>
      <c r="J134" s="182"/>
      <c r="K134" s="182"/>
      <c r="L134" s="182"/>
      <c r="M134" s="182"/>
      <c r="N134" s="182"/>
      <c r="O134" s="64"/>
      <c r="P134" s="64"/>
      <c r="Q134" s="64"/>
      <c r="R134" s="64"/>
      <c r="S134" s="74"/>
      <c r="T134" s="74"/>
      <c r="U134" s="74"/>
      <c r="V134" s="74"/>
      <c r="W134" s="74"/>
      <c r="X134" s="74"/>
      <c r="Y134" s="74"/>
      <c r="Z134" s="74"/>
      <c r="AA134" s="64"/>
      <c r="AB134" s="64"/>
      <c r="AC134" s="64"/>
      <c r="AD134" s="64"/>
      <c r="AE134" s="64"/>
      <c r="AF134" s="118"/>
    </row>
    <row r="135" spans="1:32" ht="20.25" customHeight="1">
      <c r="A135" s="74"/>
      <c r="B135" s="192"/>
      <c r="C135" s="192"/>
      <c r="D135" s="192"/>
      <c r="E135" s="192"/>
      <c r="F135" s="192"/>
      <c r="G135" s="192"/>
      <c r="H135" s="192"/>
      <c r="I135" s="192"/>
      <c r="J135" s="192"/>
      <c r="K135" s="192"/>
      <c r="L135" s="185"/>
      <c r="M135" s="185"/>
      <c r="N135" s="185"/>
      <c r="O135" s="64"/>
      <c r="P135" s="64"/>
      <c r="Q135" s="64"/>
      <c r="R135" s="64"/>
      <c r="S135" s="74"/>
      <c r="T135" s="74"/>
      <c r="U135" s="74"/>
      <c r="V135" s="74"/>
      <c r="W135" s="74"/>
      <c r="X135" s="74"/>
      <c r="Y135" s="74"/>
      <c r="Z135" s="74"/>
      <c r="AA135" s="74"/>
      <c r="AB135" s="74"/>
      <c r="AC135" s="74"/>
      <c r="AD135" s="85"/>
      <c r="AE135" s="85"/>
      <c r="AF135" s="118"/>
    </row>
    <row r="136" spans="1:32" ht="25" customHeight="1">
      <c r="A136" s="74"/>
      <c r="B136" s="193"/>
      <c r="C136" s="193"/>
      <c r="D136" s="193"/>
      <c r="E136" s="193"/>
      <c r="F136" s="193"/>
      <c r="G136" s="193"/>
      <c r="H136" s="193"/>
      <c r="I136" s="193"/>
      <c r="J136" s="193"/>
      <c r="K136" s="193"/>
      <c r="L136" s="188"/>
      <c r="M136" s="188"/>
      <c r="N136" s="188"/>
      <c r="O136" s="64"/>
      <c r="P136" s="64"/>
      <c r="Q136" s="64"/>
      <c r="R136" s="64"/>
      <c r="S136" s="64"/>
      <c r="T136" s="64"/>
      <c r="U136" s="64"/>
      <c r="V136" s="64"/>
      <c r="W136" s="64"/>
      <c r="X136" s="64"/>
      <c r="Y136" s="64"/>
      <c r="Z136" s="64"/>
      <c r="AA136" s="74"/>
      <c r="AB136" s="74"/>
      <c r="AC136" s="74"/>
      <c r="AD136" s="87"/>
      <c r="AE136" s="87"/>
      <c r="AF136" s="118"/>
    </row>
    <row r="137" spans="1:32" ht="22" customHeight="1">
      <c r="A137" s="69"/>
      <c r="B137" s="193"/>
      <c r="C137" s="193"/>
      <c r="D137" s="193"/>
      <c r="E137" s="193"/>
      <c r="F137" s="193"/>
      <c r="G137" s="193"/>
      <c r="H137" s="193"/>
      <c r="I137" s="193"/>
      <c r="J137" s="193"/>
      <c r="K137" s="193"/>
      <c r="L137" s="188"/>
      <c r="M137" s="188"/>
      <c r="N137" s="188"/>
      <c r="O137" s="89"/>
      <c r="P137" s="89"/>
      <c r="Q137" s="89"/>
      <c r="R137" s="89"/>
      <c r="S137" s="89"/>
      <c r="T137" s="89"/>
      <c r="U137" s="89"/>
      <c r="V137" s="89"/>
      <c r="W137" s="89"/>
      <c r="X137" s="89"/>
      <c r="Y137" s="89"/>
      <c r="Z137" s="89"/>
      <c r="AA137" s="69"/>
      <c r="AB137" s="69"/>
      <c r="AC137" s="69"/>
      <c r="AD137" s="69"/>
      <c r="AE137" s="69"/>
      <c r="AF137" s="118"/>
    </row>
    <row r="138" spans="1:32" ht="22" customHeight="1">
      <c r="A138" s="69"/>
      <c r="B138" s="193"/>
      <c r="C138" s="193"/>
      <c r="D138" s="193"/>
      <c r="E138" s="193"/>
      <c r="F138" s="193"/>
      <c r="G138" s="193"/>
      <c r="H138" s="193"/>
      <c r="I138" s="193"/>
      <c r="J138" s="193"/>
      <c r="K138" s="193"/>
      <c r="L138" s="188"/>
      <c r="M138" s="188"/>
      <c r="N138" s="188"/>
      <c r="O138" s="64"/>
      <c r="P138" s="64"/>
      <c r="Q138" s="64"/>
      <c r="R138" s="64"/>
      <c r="S138" s="74"/>
      <c r="T138" s="74"/>
      <c r="U138" s="74"/>
      <c r="V138" s="74"/>
      <c r="W138" s="74"/>
      <c r="X138" s="74"/>
      <c r="Y138" s="74"/>
      <c r="Z138" s="74"/>
      <c r="AA138" s="69"/>
      <c r="AB138" s="69"/>
      <c r="AC138" s="69"/>
      <c r="AD138" s="74"/>
      <c r="AE138" s="74"/>
      <c r="AF138" s="118"/>
    </row>
    <row r="139" spans="1:32" ht="22" customHeight="1">
      <c r="A139" s="69"/>
      <c r="B139" s="182"/>
      <c r="C139" s="182"/>
      <c r="D139" s="182"/>
      <c r="E139" s="182"/>
      <c r="F139" s="182"/>
      <c r="G139" s="182"/>
      <c r="H139" s="182"/>
      <c r="I139" s="182"/>
      <c r="J139" s="182"/>
      <c r="K139" s="182"/>
      <c r="L139" s="188"/>
      <c r="M139" s="188"/>
      <c r="N139" s="188"/>
      <c r="O139" s="64"/>
      <c r="P139" s="64"/>
      <c r="Q139" s="64"/>
      <c r="R139" s="64"/>
      <c r="S139" s="74"/>
      <c r="T139" s="74"/>
      <c r="U139" s="74"/>
      <c r="V139" s="74"/>
      <c r="W139" s="74"/>
      <c r="X139" s="74"/>
      <c r="Y139" s="74"/>
      <c r="Z139" s="74"/>
      <c r="AA139" s="69"/>
      <c r="AB139" s="69"/>
      <c r="AC139" s="69"/>
      <c r="AD139" s="74"/>
      <c r="AE139" s="74"/>
      <c r="AF139" s="118"/>
    </row>
    <row r="140" spans="1:32" ht="22" customHeight="1">
      <c r="A140" s="69"/>
      <c r="B140" s="182"/>
      <c r="C140" s="182"/>
      <c r="D140" s="182"/>
      <c r="E140" s="182"/>
      <c r="F140" s="182"/>
      <c r="G140" s="182"/>
      <c r="H140" s="182"/>
      <c r="I140" s="182"/>
      <c r="J140" s="182"/>
      <c r="K140" s="182"/>
      <c r="L140" s="185"/>
      <c r="M140" s="185"/>
      <c r="N140" s="185"/>
      <c r="O140" s="64"/>
      <c r="P140" s="64"/>
      <c r="Q140" s="64"/>
      <c r="R140" s="64"/>
      <c r="S140" s="74"/>
      <c r="T140" s="74"/>
      <c r="U140" s="74"/>
      <c r="V140" s="74"/>
      <c r="W140" s="74"/>
      <c r="X140" s="74"/>
      <c r="Y140" s="74"/>
      <c r="Z140" s="74"/>
      <c r="AA140" s="69"/>
      <c r="AB140" s="69"/>
      <c r="AC140" s="69"/>
      <c r="AD140" s="74"/>
      <c r="AE140" s="74"/>
      <c r="AF140" s="118"/>
    </row>
    <row r="141" spans="1:32" ht="22" customHeight="1">
      <c r="A141" s="69"/>
      <c r="B141" s="64"/>
      <c r="C141" s="64"/>
      <c r="D141" s="64"/>
      <c r="E141" s="64"/>
      <c r="F141" s="64"/>
      <c r="G141" s="64"/>
      <c r="H141" s="64"/>
      <c r="I141" s="64"/>
      <c r="J141" s="64"/>
      <c r="K141" s="64"/>
      <c r="L141" s="64"/>
      <c r="M141" s="64"/>
      <c r="N141" s="64"/>
      <c r="O141" s="64"/>
      <c r="P141" s="64"/>
      <c r="Q141" s="64"/>
      <c r="R141" s="64"/>
      <c r="S141" s="74"/>
      <c r="T141" s="74"/>
      <c r="U141" s="74"/>
      <c r="V141" s="74"/>
      <c r="W141" s="74"/>
      <c r="X141" s="74"/>
      <c r="Y141" s="74"/>
      <c r="Z141" s="74"/>
      <c r="AA141" s="69"/>
      <c r="AB141" s="69"/>
      <c r="AC141" s="69"/>
      <c r="AD141" s="74"/>
      <c r="AE141" s="74"/>
      <c r="AF141" s="118"/>
    </row>
    <row r="142" spans="1:32" ht="24">
      <c r="B142" s="109"/>
      <c r="C142" s="64"/>
      <c r="D142" s="64"/>
      <c r="E142" s="64"/>
      <c r="F142" s="64"/>
      <c r="G142" s="64"/>
      <c r="H142" s="64"/>
      <c r="I142" s="64"/>
      <c r="J142" s="64"/>
      <c r="K142" s="64"/>
      <c r="L142" s="64"/>
      <c r="M142" s="64"/>
      <c r="N142" s="64"/>
    </row>
    <row r="143" spans="1:32" ht="24">
      <c r="B143" s="108"/>
      <c r="C143" s="64"/>
      <c r="D143" s="64"/>
      <c r="E143" s="64"/>
      <c r="F143" s="64"/>
      <c r="G143" s="64"/>
      <c r="H143" s="64"/>
      <c r="I143" s="64"/>
      <c r="J143" s="64"/>
      <c r="K143" s="64"/>
      <c r="L143" s="64"/>
      <c r="M143" s="64"/>
      <c r="N143" s="64"/>
    </row>
    <row r="144" spans="1:32" ht="24">
      <c r="B144" s="108"/>
      <c r="C144" s="74"/>
      <c r="D144" s="74"/>
      <c r="E144" s="74"/>
      <c r="F144" s="74"/>
      <c r="G144" s="74"/>
      <c r="H144" s="74"/>
      <c r="I144" s="74"/>
      <c r="J144" s="74"/>
      <c r="K144" s="64"/>
      <c r="L144" s="64"/>
      <c r="M144" s="64"/>
      <c r="N144" s="64"/>
    </row>
    <row r="145" spans="2:14" ht="24">
      <c r="B145" s="110"/>
      <c r="C145" s="74"/>
      <c r="D145" s="74"/>
      <c r="E145" s="74"/>
      <c r="F145" s="74"/>
      <c r="G145" s="74"/>
      <c r="H145" s="74"/>
      <c r="I145" s="74"/>
      <c r="J145" s="74"/>
      <c r="K145" s="64"/>
      <c r="L145" s="64"/>
      <c r="M145" s="64"/>
      <c r="N145" s="64"/>
    </row>
    <row r="146" spans="2:14" ht="24">
      <c r="B146" s="108"/>
      <c r="C146" s="90"/>
      <c r="D146" s="90"/>
      <c r="E146" s="90"/>
      <c r="F146" s="90"/>
      <c r="G146" s="90"/>
      <c r="H146" s="69"/>
      <c r="I146" s="69"/>
      <c r="J146" s="69"/>
      <c r="K146" s="89"/>
      <c r="L146" s="89"/>
      <c r="M146" s="89"/>
      <c r="N146" s="89"/>
    </row>
    <row r="147" spans="2:14" ht="24">
      <c r="B147" s="107"/>
      <c r="C147" s="74"/>
      <c r="D147" s="74"/>
      <c r="E147" s="74"/>
      <c r="F147" s="74"/>
      <c r="G147" s="74"/>
      <c r="H147" s="74"/>
      <c r="I147" s="74"/>
      <c r="J147" s="74"/>
      <c r="K147" s="64"/>
      <c r="L147" s="64"/>
      <c r="M147" s="64"/>
      <c r="N147" s="64"/>
    </row>
    <row r="148" spans="2:14" ht="19">
      <c r="B148" s="69"/>
      <c r="C148" s="74"/>
      <c r="D148" s="74"/>
      <c r="E148" s="74"/>
      <c r="F148" s="74"/>
      <c r="G148" s="74"/>
      <c r="H148" s="74"/>
      <c r="I148" s="74"/>
      <c r="J148" s="74"/>
      <c r="K148" s="64"/>
      <c r="L148" s="64"/>
      <c r="M148" s="64"/>
      <c r="N148" s="64"/>
    </row>
    <row r="149" spans="2:14" ht="19">
      <c r="B149" s="69"/>
      <c r="C149" s="74"/>
      <c r="D149" s="74"/>
      <c r="E149" s="74"/>
      <c r="F149" s="74"/>
      <c r="G149" s="74"/>
      <c r="H149" s="74"/>
      <c r="I149" s="74"/>
      <c r="J149" s="74"/>
      <c r="K149" s="64"/>
      <c r="L149" s="64"/>
      <c r="M149" s="64"/>
      <c r="N149" s="64"/>
    </row>
    <row r="150" spans="2:14" ht="19">
      <c r="B150" s="69"/>
      <c r="C150" s="74"/>
      <c r="D150" s="74"/>
      <c r="E150" s="74"/>
      <c r="F150" s="74"/>
      <c r="G150" s="74"/>
      <c r="H150" s="74"/>
      <c r="I150" s="74"/>
      <c r="J150" s="74"/>
      <c r="K150" s="64"/>
      <c r="L150" s="64"/>
      <c r="M150" s="64"/>
      <c r="N150" s="64"/>
    </row>
    <row r="269" spans="18:18">
      <c r="R269" s="119" t="s">
        <v>57</v>
      </c>
    </row>
    <row r="278" spans="10:10">
      <c r="J278" s="119" t="s">
        <v>57</v>
      </c>
    </row>
    <row r="331" ht="19.5" customHeight="1"/>
    <row r="349" spans="32:33">
      <c r="AF349" s="194">
        <v>0.91759999999999997</v>
      </c>
      <c r="AG349" s="194">
        <v>0.84940000000000004</v>
      </c>
    </row>
    <row r="350" spans="32:33">
      <c r="AG350" s="195">
        <v>1</v>
      </c>
    </row>
    <row r="356" spans="32:33">
      <c r="AF356" s="194">
        <v>0.91210000000000002</v>
      </c>
      <c r="AG356" s="194">
        <v>0.89339999999999997</v>
      </c>
    </row>
    <row r="357" spans="32:33">
      <c r="AG357" s="194">
        <v>0.68500000000000005</v>
      </c>
    </row>
    <row r="456" hidden="1"/>
    <row r="457" hidden="1"/>
    <row r="458" hidden="1"/>
    <row r="459" hidden="1"/>
    <row r="460" hidden="1"/>
    <row r="461" hidden="1"/>
    <row r="462" hidden="1"/>
    <row r="463" hidden="1"/>
    <row r="464" hidden="1"/>
    <row r="465" hidden="1"/>
    <row r="466" hidden="1"/>
    <row r="467" hidden="1"/>
    <row r="468" hidden="1"/>
    <row r="469" hidden="1"/>
  </sheetData>
  <mergeCells count="10">
    <mergeCell ref="A27:P27"/>
    <mergeCell ref="A29:P29"/>
    <mergeCell ref="A1:C1"/>
    <mergeCell ref="D1:P2"/>
    <mergeCell ref="A2:C2"/>
    <mergeCell ref="A3:C3"/>
    <mergeCell ref="A4:C4"/>
    <mergeCell ref="A5:C5"/>
    <mergeCell ref="L5:P6"/>
    <mergeCell ref="A6:C6"/>
  </mergeCells>
  <pageMargins left="0.7" right="0.7" top="0.75" bottom="0.75" header="0.3" footer="0.3"/>
  <pageSetup paperSize="9" scale="4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rgb="FFFFFF00"/>
    <pageSetUpPr fitToPage="1"/>
  </sheetPr>
  <dimension ref="A1:BK73"/>
  <sheetViews>
    <sheetView view="pageBreakPreview" topLeftCell="S2" zoomScale="75" zoomScaleNormal="20" zoomScaleSheetLayoutView="30" workbookViewId="0">
      <selection activeCell="D64" sqref="D64"/>
    </sheetView>
  </sheetViews>
  <sheetFormatPr baseColWidth="10" defaultColWidth="9.1640625" defaultRowHeight="13"/>
  <cols>
    <col min="1" max="1" width="60" customWidth="1"/>
    <col min="2" max="2" width="2.5" bestFit="1" customWidth="1"/>
    <col min="3" max="7" width="30.5" style="235" customWidth="1"/>
    <col min="8" max="24" width="30.5" customWidth="1"/>
    <col min="25" max="31" width="30.5" hidden="1" customWidth="1"/>
    <col min="32" max="32" width="9.1640625" hidden="1" customWidth="1"/>
    <col min="35" max="35" width="19.6640625" bestFit="1" customWidth="1"/>
    <col min="42" max="45" width="11.5" bestFit="1" customWidth="1"/>
    <col min="46" max="50" width="10.83203125" bestFit="1" customWidth="1"/>
    <col min="51" max="54" width="11.5" bestFit="1" customWidth="1"/>
    <col min="55" max="58" width="10.83203125" bestFit="1" customWidth="1"/>
    <col min="59" max="63" width="14.5" bestFit="1" customWidth="1"/>
  </cols>
  <sheetData>
    <row r="1" spans="1:63" ht="30" customHeight="1">
      <c r="A1" s="960" t="s">
        <v>240</v>
      </c>
      <c r="B1" s="960"/>
      <c r="C1" s="960"/>
      <c r="D1" s="960"/>
      <c r="E1" s="960"/>
      <c r="F1" s="960"/>
      <c r="G1" s="960"/>
      <c r="H1" s="960"/>
      <c r="I1" s="960"/>
      <c r="J1" s="960"/>
      <c r="K1" s="960"/>
      <c r="L1" s="960"/>
      <c r="M1" s="960"/>
      <c r="N1" s="960"/>
      <c r="O1" s="960"/>
      <c r="P1" s="960"/>
      <c r="Q1" s="960"/>
      <c r="R1" s="960"/>
      <c r="S1" s="960"/>
      <c r="T1" s="960"/>
      <c r="U1" s="960"/>
      <c r="V1" s="960"/>
      <c r="W1" s="960"/>
      <c r="X1" s="960"/>
      <c r="Y1" s="960"/>
      <c r="Z1" s="960"/>
      <c r="AA1" s="960"/>
      <c r="AB1" s="960"/>
      <c r="AC1" s="960"/>
      <c r="AD1" s="960"/>
      <c r="AE1" s="960"/>
      <c r="AF1" s="960"/>
      <c r="AG1" s="960"/>
    </row>
    <row r="2" spans="1:63" ht="28.5" customHeight="1">
      <c r="A2" s="961" t="s">
        <v>36</v>
      </c>
      <c r="B2" s="961"/>
      <c r="C2" s="961"/>
      <c r="D2" s="961"/>
      <c r="E2" s="961"/>
      <c r="F2" s="961"/>
      <c r="G2" s="961"/>
      <c r="H2" s="961"/>
      <c r="I2" s="961"/>
      <c r="J2" s="961"/>
      <c r="K2" s="961"/>
      <c r="L2" s="961"/>
      <c r="M2" s="961"/>
      <c r="N2" s="961"/>
      <c r="O2" s="961"/>
      <c r="P2" s="961"/>
      <c r="Q2" s="961"/>
      <c r="R2" s="961"/>
      <c r="S2" s="961"/>
      <c r="T2" s="961"/>
      <c r="U2" s="961"/>
      <c r="V2" s="961"/>
      <c r="W2" s="961"/>
      <c r="X2" s="961"/>
      <c r="Y2" s="961"/>
      <c r="Z2" s="961"/>
      <c r="AA2" s="961"/>
      <c r="AB2" s="961"/>
      <c r="AC2" s="961"/>
      <c r="AD2" s="961"/>
      <c r="AE2" s="961"/>
      <c r="AF2" s="961"/>
      <c r="AG2" s="961"/>
    </row>
    <row r="3" spans="1:63" ht="31.5" customHeight="1">
      <c r="A3" s="245"/>
      <c r="B3" s="245"/>
      <c r="C3" s="245"/>
      <c r="D3" s="245"/>
      <c r="E3" s="245"/>
      <c r="F3" s="245"/>
      <c r="G3" s="245"/>
    </row>
    <row r="4" spans="1:63" ht="33" customHeight="1">
      <c r="A4" s="432" t="s">
        <v>28</v>
      </c>
      <c r="B4" s="433" t="s">
        <v>29</v>
      </c>
      <c r="C4" s="434" t="s">
        <v>152</v>
      </c>
      <c r="D4" s="196"/>
      <c r="E4" s="12"/>
      <c r="F4" s="236"/>
      <c r="G4" s="236"/>
    </row>
    <row r="5" spans="1:63" ht="33" customHeight="1">
      <c r="A5" s="432" t="s">
        <v>13</v>
      </c>
      <c r="B5" s="433" t="s">
        <v>29</v>
      </c>
      <c r="C5" s="245" t="str">
        <f>'Cover Report'!Z1</f>
        <v>Integrated Management Dashboard Production &amp; Project Zona 13</v>
      </c>
      <c r="D5" s="196"/>
      <c r="E5" s="12"/>
      <c r="F5" s="236"/>
      <c r="G5" s="236"/>
    </row>
    <row r="6" spans="1:63" ht="33" customHeight="1">
      <c r="A6" s="432" t="s">
        <v>64</v>
      </c>
      <c r="B6" s="433" t="s">
        <v>29</v>
      </c>
      <c r="C6" s="435" t="str">
        <f>'Cover Report'!Z2</f>
        <v>W2026I-DNGF-EM-100-PRG-WLY</v>
      </c>
      <c r="D6" s="244"/>
      <c r="E6" s="237"/>
      <c r="F6" s="236"/>
      <c r="G6" s="236"/>
    </row>
    <row r="7" spans="1:63" ht="33" customHeight="1">
      <c r="A7" s="432" t="s">
        <v>37</v>
      </c>
      <c r="B7" s="433" t="s">
        <v>29</v>
      </c>
      <c r="C7" s="457" t="str">
        <f>'Cover Report'!Z5</f>
        <v>W2026I-DNGF-EM-100-PRG-WLY-0012</v>
      </c>
      <c r="D7" s="458"/>
      <c r="E7" s="237"/>
      <c r="F7" s="459"/>
      <c r="G7" s="236"/>
    </row>
    <row r="8" spans="1:63" ht="33" customHeight="1">
      <c r="A8" s="959"/>
      <c r="B8" s="959"/>
      <c r="C8" s="959"/>
      <c r="D8" s="959"/>
      <c r="E8" s="959"/>
      <c r="F8" s="959"/>
      <c r="G8" s="236"/>
    </row>
    <row r="9" spans="1:63" ht="26.25" customHeight="1">
      <c r="A9" s="238"/>
      <c r="B9" s="238"/>
    </row>
    <row r="10" spans="1:63" ht="26.25" customHeight="1">
      <c r="A10" s="238"/>
      <c r="B10" s="238"/>
    </row>
    <row r="11" spans="1:63" ht="30" customHeight="1">
      <c r="A11" s="238"/>
      <c r="B11" s="238"/>
    </row>
    <row r="12" spans="1:63" ht="30" customHeight="1">
      <c r="A12" s="238"/>
      <c r="B12" s="238"/>
      <c r="AP12" s="777">
        <f>'Overall MDR_'!BM11</f>
        <v>0</v>
      </c>
      <c r="AQ12" s="777">
        <f>'Overall MDR_'!BN11</f>
        <v>0</v>
      </c>
      <c r="AR12" s="777">
        <f>'Overall MDR_'!BO11</f>
        <v>1</v>
      </c>
      <c r="AS12" s="777">
        <f>'Overall MDR_'!BP11</f>
        <v>2</v>
      </c>
      <c r="AT12" s="777">
        <f>'Overall MDR_'!BQ11</f>
        <v>3</v>
      </c>
      <c r="AU12" s="777">
        <f>'Overall MDR_'!BR11</f>
        <v>4</v>
      </c>
      <c r="AV12" s="777">
        <f>'Overall MDR_'!BS11</f>
        <v>5</v>
      </c>
      <c r="AW12" s="777">
        <f>'Overall MDR_'!BT11</f>
        <v>6</v>
      </c>
      <c r="AX12" s="777">
        <f>'Overall MDR_'!BU11</f>
        <v>7</v>
      </c>
      <c r="AY12" s="777">
        <f>'Overall MDR_'!BV11</f>
        <v>8</v>
      </c>
      <c r="AZ12" s="777">
        <f>'Overall MDR_'!BW11</f>
        <v>9</v>
      </c>
      <c r="BA12" s="777">
        <f>'Overall MDR_'!BX11</f>
        <v>10</v>
      </c>
      <c r="BB12" s="777">
        <f>'Overall MDR_'!BY11</f>
        <v>11</v>
      </c>
      <c r="BC12" s="777">
        <f>'Overall MDR_'!BZ11</f>
        <v>12</v>
      </c>
      <c r="BD12" s="777">
        <f>'Overall MDR_'!CA11</f>
        <v>13</v>
      </c>
      <c r="BE12" s="777">
        <f>'Overall MDR_'!CB11</f>
        <v>14</v>
      </c>
      <c r="BF12" s="777">
        <f>'Overall MDR_'!CC11</f>
        <v>15</v>
      </c>
      <c r="BG12" s="777">
        <f>'Overall MDR_'!CD11</f>
        <v>16</v>
      </c>
      <c r="BH12" s="777">
        <f>'Overall MDR_'!CE11</f>
        <v>17</v>
      </c>
      <c r="BI12" s="777">
        <f>'Overall MDR_'!CF11</f>
        <v>18</v>
      </c>
      <c r="BJ12" s="777">
        <f>'Overall MDR_'!CG11</f>
        <v>19</v>
      </c>
      <c r="BK12" s="777">
        <f>'Overall MDR_'!CH11</f>
        <v>20</v>
      </c>
    </row>
    <row r="13" spans="1:63" ht="30" customHeight="1">
      <c r="A13" s="238"/>
      <c r="B13" s="238"/>
      <c r="AP13" s="778">
        <f>'Overall MDR_'!BM12</f>
        <v>46113</v>
      </c>
      <c r="AQ13" s="778">
        <f>'Overall MDR_'!BN12</f>
        <v>46124</v>
      </c>
      <c r="AR13" s="778">
        <f>'Overall MDR_'!BO12</f>
        <v>46131</v>
      </c>
      <c r="AS13" s="778">
        <f>'Overall MDR_'!BP12</f>
        <v>46138</v>
      </c>
      <c r="AT13" s="778">
        <f>'Overall MDR_'!BQ12</f>
        <v>46145</v>
      </c>
      <c r="AU13" s="778">
        <f>'Overall MDR_'!BR12</f>
        <v>46152</v>
      </c>
      <c r="AV13" s="778">
        <f>'Overall MDR_'!BS12</f>
        <v>46159</v>
      </c>
      <c r="AW13" s="778">
        <f>'Overall MDR_'!BT12</f>
        <v>46166</v>
      </c>
      <c r="AX13" s="778">
        <f>'Overall MDR_'!BU12</f>
        <v>46173</v>
      </c>
      <c r="AY13" s="778">
        <f>'Overall MDR_'!BV12</f>
        <v>46180</v>
      </c>
      <c r="AZ13" s="778">
        <f>'Overall MDR_'!BW12</f>
        <v>46187</v>
      </c>
      <c r="BA13" s="778">
        <f>'Overall MDR_'!BX12</f>
        <v>46194</v>
      </c>
      <c r="BB13" s="778">
        <f>'Overall MDR_'!BY12</f>
        <v>46201</v>
      </c>
      <c r="BC13" s="778">
        <f>'Overall MDR_'!BZ12</f>
        <v>46208</v>
      </c>
      <c r="BD13" s="778">
        <f>'Overall MDR_'!CA12</f>
        <v>46215</v>
      </c>
      <c r="BE13" s="778">
        <f>'Overall MDR_'!CB12</f>
        <v>46222</v>
      </c>
      <c r="BF13" s="778">
        <f>'Overall MDR_'!CC12</f>
        <v>46229</v>
      </c>
      <c r="BG13" s="778">
        <f>'Overall MDR_'!CD12</f>
        <v>46236</v>
      </c>
      <c r="BH13" s="778">
        <f>'Overall MDR_'!CE12</f>
        <v>46243</v>
      </c>
      <c r="BI13" s="778">
        <f>'Overall MDR_'!CF12</f>
        <v>46250</v>
      </c>
      <c r="BJ13" s="778">
        <f>'Overall MDR_'!CG12</f>
        <v>46257</v>
      </c>
      <c r="BK13" s="778">
        <f>'Overall MDR_'!CH12</f>
        <v>46265</v>
      </c>
    </row>
    <row r="14" spans="1:63" ht="20.25" customHeight="1">
      <c r="A14" s="238"/>
      <c r="B14" s="238"/>
      <c r="AN14" t="str">
        <f>A64</f>
        <v>ACTUAL THIS WEEK</v>
      </c>
      <c r="AP14" s="551">
        <f>AP15</f>
        <v>0</v>
      </c>
      <c r="AQ14" s="551">
        <f>AQ15-AP15</f>
        <v>0.217725</v>
      </c>
      <c r="AR14" s="551">
        <f>AR15-AQ15</f>
        <v>0.144065</v>
      </c>
      <c r="AS14" s="551">
        <f t="shared" ref="AS14:BC14" si="0">AS15-AR15</f>
        <v>5.7010000000000061E-2</v>
      </c>
      <c r="AT14" s="551">
        <f t="shared" si="0"/>
        <v>1.8759999999999999E-2</v>
      </c>
      <c r="AU14" s="551">
        <f t="shared" si="0"/>
        <v>1.5449999999999964E-2</v>
      </c>
      <c r="AV14" s="551">
        <f t="shared" si="0"/>
        <v>5.9590000000000032E-2</v>
      </c>
      <c r="AW14" s="551">
        <f t="shared" si="0"/>
        <v>9.4249999999999057E-3</v>
      </c>
      <c r="AX14" s="551">
        <f t="shared" si="0"/>
        <v>3.0885000000000051E-2</v>
      </c>
      <c r="AY14" s="551">
        <f t="shared" si="0"/>
        <v>6.2265000000000015E-2</v>
      </c>
      <c r="AZ14" s="551">
        <f t="shared" si="0"/>
        <v>8.0314999999999914E-2</v>
      </c>
      <c r="BA14" s="551">
        <f t="shared" si="0"/>
        <v>8.1860000000000044E-2</v>
      </c>
      <c r="BB14" s="551">
        <f t="shared" si="0"/>
        <v>3.0900000000000039E-2</v>
      </c>
      <c r="BC14" s="551">
        <f t="shared" si="0"/>
        <v>5.8450000000000002E-2</v>
      </c>
      <c r="BD14" s="551"/>
    </row>
    <row r="15" spans="1:63" ht="20.25" customHeight="1">
      <c r="A15" s="238"/>
      <c r="B15" s="238"/>
      <c r="AN15" t="str">
        <f>A65</f>
        <v>ACTUAL CUMMULATIVE</v>
      </c>
      <c r="AP15" s="552">
        <f>'Overall MDR_'!DL47</f>
        <v>0</v>
      </c>
      <c r="AQ15" s="552">
        <f>'Overall MDR_'!DM47</f>
        <v>0.217725</v>
      </c>
      <c r="AR15" s="552">
        <f>'Overall MDR_'!DN47</f>
        <v>0.36179</v>
      </c>
      <c r="AS15" s="552">
        <f>'Overall MDR_'!DO47</f>
        <v>0.41880000000000006</v>
      </c>
      <c r="AT15" s="552">
        <f>'Overall MDR_'!DP47</f>
        <v>0.43756000000000006</v>
      </c>
      <c r="AU15" s="552">
        <f>'Overall MDR_'!DQ47</f>
        <v>0.45301000000000002</v>
      </c>
      <c r="AV15" s="552">
        <f>'Overall MDR_'!DR47</f>
        <v>0.51260000000000006</v>
      </c>
      <c r="AW15" s="552">
        <f>'Overall MDR_'!DS47</f>
        <v>0.52202499999999996</v>
      </c>
      <c r="AX15" s="552">
        <f>'Overall MDR_'!DT47</f>
        <v>0.55291000000000001</v>
      </c>
      <c r="AY15" s="552">
        <f>'Overall MDR_'!DU47</f>
        <v>0.61517500000000003</v>
      </c>
      <c r="AZ15" s="552">
        <f>'Overall MDR_'!DV47</f>
        <v>0.69548999999999994</v>
      </c>
      <c r="BA15" s="552">
        <f>'Overall MDR_'!DW47</f>
        <v>0.77734999999999999</v>
      </c>
      <c r="BB15" s="552">
        <f>'Overall MDR_'!DX47</f>
        <v>0.80825000000000002</v>
      </c>
      <c r="BC15" s="552">
        <f>'Overall MDR_'!DY47</f>
        <v>0.86670000000000003</v>
      </c>
      <c r="BD15" s="552"/>
    </row>
    <row r="16" spans="1:63" ht="20.25" customHeight="1">
      <c r="A16" s="238"/>
      <c r="B16" s="238"/>
      <c r="AN16" t="str">
        <f t="shared" ref="AN16:AN19" si="1">A66</f>
        <v>PLAN THIS WEEK</v>
      </c>
      <c r="AP16" s="551">
        <f>AP17</f>
        <v>0</v>
      </c>
      <c r="AQ16" s="551">
        <f>AQ17-AP17</f>
        <v>6.3355000000000009E-2</v>
      </c>
      <c r="AR16" s="551">
        <f>AR17-AQ17</f>
        <v>3.7089999999999998E-2</v>
      </c>
      <c r="AS16" s="551">
        <f t="shared" ref="AS16:BK16" si="2">AS17-AR17</f>
        <v>7.1080000000000004E-2</v>
      </c>
      <c r="AT16" s="551">
        <f t="shared" si="2"/>
        <v>4.2594999999999994E-2</v>
      </c>
      <c r="AU16" s="551">
        <f t="shared" si="2"/>
        <v>4.8949999999999966E-2</v>
      </c>
      <c r="AV16" s="551">
        <f t="shared" si="2"/>
        <v>0.12258000000000002</v>
      </c>
      <c r="AW16" s="551">
        <f t="shared" si="2"/>
        <v>8.8225000000000053E-2</v>
      </c>
      <c r="AX16" s="551">
        <f t="shared" si="2"/>
        <v>8.4175E-2</v>
      </c>
      <c r="AY16" s="551">
        <f t="shared" si="2"/>
        <v>3.3475000000000033E-2</v>
      </c>
      <c r="AZ16" s="551">
        <f t="shared" si="2"/>
        <v>9.5794999999999852E-2</v>
      </c>
      <c r="BA16" s="551">
        <f t="shared" si="2"/>
        <v>5.7780000000000054E-2</v>
      </c>
      <c r="BB16" s="551">
        <f t="shared" si="2"/>
        <v>9.0449999999999697E-3</v>
      </c>
      <c r="BC16" s="551">
        <f t="shared" si="2"/>
        <v>0.10560500000000006</v>
      </c>
      <c r="BD16" s="551">
        <f t="shared" si="2"/>
        <v>0</v>
      </c>
      <c r="BE16" s="551">
        <f t="shared" si="2"/>
        <v>5.8450000000000002E-2</v>
      </c>
      <c r="BF16" s="551">
        <f t="shared" si="2"/>
        <v>2.3349999999999982E-2</v>
      </c>
      <c r="BG16" s="551">
        <f t="shared" si="2"/>
        <v>5.8450000000000002E-2</v>
      </c>
      <c r="BH16" s="551">
        <f t="shared" si="2"/>
        <v>0</v>
      </c>
      <c r="BI16" s="551">
        <f t="shared" si="2"/>
        <v>0</v>
      </c>
      <c r="BJ16" s="551">
        <f t="shared" si="2"/>
        <v>0</v>
      </c>
      <c r="BK16" s="551">
        <f t="shared" si="2"/>
        <v>0</v>
      </c>
    </row>
    <row r="17" spans="1:63" ht="20.25" customHeight="1">
      <c r="A17" s="238"/>
      <c r="B17" s="238"/>
      <c r="AN17" t="str">
        <f t="shared" si="1"/>
        <v>PLAN CUMMULATIVE</v>
      </c>
      <c r="AP17" s="552">
        <f>'Overall MDR_'!BM47</f>
        <v>0</v>
      </c>
      <c r="AQ17" s="552">
        <f>'Overall MDR_'!BN47</f>
        <v>6.3355000000000009E-2</v>
      </c>
      <c r="AR17" s="552">
        <f>'Overall MDR_'!BO47</f>
        <v>0.10044500000000001</v>
      </c>
      <c r="AS17" s="552">
        <f>'Overall MDR_'!BP47</f>
        <v>0.17152500000000001</v>
      </c>
      <c r="AT17" s="552">
        <f>'Overall MDR_'!BQ47</f>
        <v>0.21412</v>
      </c>
      <c r="AU17" s="552">
        <f>'Overall MDR_'!BR47</f>
        <v>0.26306999999999997</v>
      </c>
      <c r="AV17" s="552">
        <f>'Overall MDR_'!BS47</f>
        <v>0.38564999999999999</v>
      </c>
      <c r="AW17" s="552">
        <f>'Overall MDR_'!BT47</f>
        <v>0.47387500000000005</v>
      </c>
      <c r="AX17" s="552">
        <f>'Overall MDR_'!BU47</f>
        <v>0.55805000000000005</v>
      </c>
      <c r="AY17" s="552">
        <f>'Overall MDR_'!BV47</f>
        <v>0.59152500000000008</v>
      </c>
      <c r="AZ17" s="552">
        <f>'Overall MDR_'!BW47</f>
        <v>0.68731999999999993</v>
      </c>
      <c r="BA17" s="552">
        <f>'Overall MDR_'!BX47</f>
        <v>0.74509999999999998</v>
      </c>
      <c r="BB17" s="552">
        <f>'Overall MDR_'!BY47</f>
        <v>0.75414499999999995</v>
      </c>
      <c r="BC17" s="552">
        <f>'Overall MDR_'!BZ47</f>
        <v>0.85975000000000001</v>
      </c>
      <c r="BD17" s="552">
        <f>'Overall MDR_'!CA47</f>
        <v>0.85975000000000001</v>
      </c>
      <c r="BE17" s="552">
        <f>'Overall MDR_'!CB47</f>
        <v>0.91820000000000002</v>
      </c>
      <c r="BF17" s="552">
        <f>'Overall MDR_'!CC47</f>
        <v>0.94155</v>
      </c>
      <c r="BG17" s="552">
        <f>'Overall MDR_'!CD47</f>
        <v>1</v>
      </c>
      <c r="BH17" s="552">
        <f>'Overall MDR_'!CE47</f>
        <v>1</v>
      </c>
      <c r="BI17" s="552">
        <f>'Overall MDR_'!CF47</f>
        <v>1</v>
      </c>
      <c r="BJ17" s="552">
        <f>'Overall MDR_'!CG47</f>
        <v>1</v>
      </c>
      <c r="BK17" s="552">
        <f>'Overall MDR_'!CH47</f>
        <v>1</v>
      </c>
    </row>
    <row r="18" spans="1:63" ht="20.25" customHeight="1">
      <c r="A18" s="238"/>
      <c r="B18" s="238"/>
      <c r="AN18" t="str">
        <f t="shared" si="1"/>
        <v>Recovery</v>
      </c>
      <c r="AP18" s="552">
        <f>'Overall MDR_'!CL47</f>
        <v>0</v>
      </c>
      <c r="AQ18" s="552">
        <f>'Overall MDR_'!CM47</f>
        <v>0</v>
      </c>
      <c r="AR18" s="552">
        <f>'Overall MDR_'!CN47</f>
        <v>0</v>
      </c>
      <c r="AS18" s="552">
        <f>'Overall MDR_'!CO47</f>
        <v>3.09E-2</v>
      </c>
      <c r="AT18" s="552">
        <f>'Overall MDR_'!CP47</f>
        <v>3.09E-2</v>
      </c>
      <c r="AU18" s="552">
        <f>'Overall MDR_'!CQ47</f>
        <v>3.09E-2</v>
      </c>
      <c r="AV18" s="552">
        <f>'Overall MDR_'!CR47</f>
        <v>3.09E-2</v>
      </c>
      <c r="AW18" s="552">
        <f>'Overall MDR_'!CS47</f>
        <v>3.09E-2</v>
      </c>
      <c r="AX18" s="552">
        <f>'Overall MDR_'!CT47</f>
        <v>3.09E-2</v>
      </c>
      <c r="AY18" s="552">
        <f>'Overall MDR_'!CU47</f>
        <v>3.09E-2</v>
      </c>
      <c r="AZ18" s="552">
        <f>'Overall MDR_'!CV47</f>
        <v>3.09E-2</v>
      </c>
      <c r="BA18" s="552">
        <f>'Overall MDR_'!CW47</f>
        <v>3.09E-2</v>
      </c>
      <c r="BB18" s="552">
        <f>'Overall MDR_'!CX47</f>
        <v>3.09E-2</v>
      </c>
      <c r="BC18" s="552">
        <f>'Overall MDR_'!CY47</f>
        <v>3.09E-2</v>
      </c>
    </row>
    <row r="19" spans="1:63" ht="20.25" customHeight="1">
      <c r="A19" s="238"/>
      <c r="B19" s="238"/>
      <c r="AN19" t="str">
        <f t="shared" si="1"/>
        <v>VARIANCE TO Recovery</v>
      </c>
      <c r="AP19" s="551">
        <f>AP15-AP18</f>
        <v>0</v>
      </c>
      <c r="AQ19" s="551">
        <f t="shared" ref="AQ19:AR19" si="3">AQ15-AQ18</f>
        <v>0.217725</v>
      </c>
      <c r="AR19" s="551">
        <f t="shared" si="3"/>
        <v>0.36179</v>
      </c>
      <c r="AS19" s="551">
        <f t="shared" ref="AS19:BB19" si="4">AS15-AS18</f>
        <v>0.38790000000000008</v>
      </c>
      <c r="AT19" s="551">
        <f t="shared" si="4"/>
        <v>0.40666000000000008</v>
      </c>
      <c r="AU19" s="551">
        <f t="shared" si="4"/>
        <v>0.42211000000000004</v>
      </c>
      <c r="AV19" s="551">
        <f t="shared" si="4"/>
        <v>0.48170000000000007</v>
      </c>
      <c r="AW19" s="551">
        <f t="shared" si="4"/>
        <v>0.49112499999999998</v>
      </c>
      <c r="AX19" s="551">
        <f t="shared" si="4"/>
        <v>0.52200999999999997</v>
      </c>
      <c r="AY19" s="551">
        <f t="shared" si="4"/>
        <v>0.58427499999999999</v>
      </c>
      <c r="AZ19" s="551">
        <f t="shared" si="4"/>
        <v>0.6645899999999999</v>
      </c>
      <c r="BA19" s="551">
        <f t="shared" si="4"/>
        <v>0.74644999999999995</v>
      </c>
      <c r="BB19" s="551">
        <f t="shared" si="4"/>
        <v>0.77734999999999999</v>
      </c>
      <c r="BC19" s="551">
        <f t="shared" ref="BC19" si="5">BC15-BC18</f>
        <v>0.83579999999999999</v>
      </c>
    </row>
    <row r="20" spans="1:63" ht="20.25" customHeight="1">
      <c r="A20" s="238"/>
      <c r="B20" s="238"/>
      <c r="AN20" t="str">
        <f>A70</f>
        <v>VARIANCE TO PLAN</v>
      </c>
      <c r="AP20" s="551">
        <f>AP15-AP17</f>
        <v>0</v>
      </c>
      <c r="AQ20" s="551">
        <f>AQ15-AQ17</f>
        <v>0.15437000000000001</v>
      </c>
      <c r="AR20" s="551">
        <f>AR15-AR17</f>
        <v>0.26134499999999999</v>
      </c>
      <c r="AS20" s="551">
        <f t="shared" ref="AS20:BB20" si="6">AS15-AS17</f>
        <v>0.24727500000000005</v>
      </c>
      <c r="AT20" s="551">
        <f t="shared" si="6"/>
        <v>0.22344000000000006</v>
      </c>
      <c r="AU20" s="551">
        <f t="shared" si="6"/>
        <v>0.18994000000000005</v>
      </c>
      <c r="AV20" s="551">
        <f t="shared" si="6"/>
        <v>0.12695000000000006</v>
      </c>
      <c r="AW20" s="551">
        <f t="shared" si="6"/>
        <v>4.8149999999999915E-2</v>
      </c>
      <c r="AX20" s="551">
        <f t="shared" si="6"/>
        <v>-5.1400000000000334E-3</v>
      </c>
      <c r="AY20" s="551">
        <f t="shared" si="6"/>
        <v>2.3649999999999949E-2</v>
      </c>
      <c r="AZ20" s="551">
        <f t="shared" si="6"/>
        <v>8.1700000000000106E-3</v>
      </c>
      <c r="BA20" s="551">
        <f t="shared" si="6"/>
        <v>3.2250000000000001E-2</v>
      </c>
      <c r="BB20" s="551">
        <f t="shared" si="6"/>
        <v>5.410500000000007E-2</v>
      </c>
      <c r="BC20" s="551">
        <f t="shared" ref="BC20" si="7">BC15-BC17</f>
        <v>6.9500000000000117E-3</v>
      </c>
    </row>
    <row r="21" spans="1:63" ht="20.25" customHeight="1">
      <c r="A21" s="238"/>
      <c r="B21" s="238"/>
    </row>
    <row r="22" spans="1:63" ht="20.25" customHeight="1">
      <c r="A22" s="238"/>
      <c r="B22" s="238"/>
    </row>
    <row r="23" spans="1:63" ht="20.25" customHeight="1">
      <c r="A23" s="238"/>
      <c r="B23" s="238"/>
    </row>
    <row r="24" spans="1:63" ht="20.25" customHeight="1">
      <c r="A24" s="238"/>
      <c r="B24" s="238"/>
      <c r="D24" s="235" t="s">
        <v>114</v>
      </c>
    </row>
    <row r="25" spans="1:63" ht="20.25" customHeight="1">
      <c r="A25" s="238"/>
      <c r="B25" s="238"/>
    </row>
    <row r="26" spans="1:63" ht="20.25" customHeight="1">
      <c r="A26" s="238"/>
      <c r="B26" s="238"/>
    </row>
    <row r="27" spans="1:63" ht="20.25" customHeight="1">
      <c r="A27" s="238"/>
      <c r="B27" s="238"/>
    </row>
    <row r="28" spans="1:63" ht="20.25" customHeight="1">
      <c r="A28" s="238"/>
      <c r="B28" s="238"/>
    </row>
    <row r="29" spans="1:63" ht="20.25" customHeight="1">
      <c r="A29" s="238"/>
      <c r="B29" s="238"/>
    </row>
    <row r="30" spans="1:63" ht="20.25" customHeight="1">
      <c r="A30" s="238"/>
      <c r="B30" s="238"/>
    </row>
    <row r="31" spans="1:63" ht="20.25" customHeight="1">
      <c r="A31" s="238"/>
      <c r="B31" s="238"/>
    </row>
    <row r="32" spans="1:63" ht="20.25" customHeight="1">
      <c r="A32" s="238"/>
      <c r="B32" s="238"/>
    </row>
    <row r="33" spans="1:2" ht="20.25" customHeight="1">
      <c r="A33" s="238"/>
      <c r="B33" s="238"/>
    </row>
    <row r="34" spans="1:2" ht="20.25" customHeight="1">
      <c r="A34" s="238"/>
      <c r="B34" s="238"/>
    </row>
    <row r="35" spans="1:2" ht="20.25" customHeight="1">
      <c r="A35" s="238"/>
      <c r="B35" s="238"/>
    </row>
    <row r="36" spans="1:2" ht="20.25" customHeight="1">
      <c r="A36" s="238"/>
      <c r="B36" s="238"/>
    </row>
    <row r="37" spans="1:2" ht="20.25" customHeight="1">
      <c r="A37" s="238"/>
      <c r="B37" s="238"/>
    </row>
    <row r="38" spans="1:2" ht="20.25" customHeight="1">
      <c r="A38" s="238"/>
      <c r="B38" s="238"/>
    </row>
    <row r="39" spans="1:2" ht="20.25" customHeight="1">
      <c r="A39" s="238"/>
      <c r="B39" s="238"/>
    </row>
    <row r="40" spans="1:2" ht="20.25" customHeight="1">
      <c r="A40" s="238"/>
      <c r="B40" s="238"/>
    </row>
    <row r="41" spans="1:2" ht="20.25" customHeight="1">
      <c r="A41" s="238"/>
      <c r="B41" s="238"/>
    </row>
    <row r="42" spans="1:2" ht="20.25" customHeight="1">
      <c r="A42" s="238"/>
      <c r="B42" s="238"/>
    </row>
    <row r="43" spans="1:2" ht="20.25" customHeight="1">
      <c r="A43" s="238"/>
      <c r="B43" s="238"/>
    </row>
    <row r="44" spans="1:2" ht="20.25" customHeight="1">
      <c r="A44" s="238"/>
      <c r="B44" s="238"/>
    </row>
    <row r="45" spans="1:2" ht="20.25" customHeight="1">
      <c r="A45" s="238"/>
      <c r="B45" s="238"/>
    </row>
    <row r="46" spans="1:2" ht="20.25" customHeight="1">
      <c r="A46" s="238"/>
      <c r="B46" s="238"/>
    </row>
    <row r="47" spans="1:2" ht="20.25" customHeight="1">
      <c r="A47" s="238"/>
      <c r="B47" s="238"/>
    </row>
    <row r="48" spans="1:2" ht="20.25" customHeight="1">
      <c r="A48" s="238"/>
      <c r="B48" s="238"/>
    </row>
    <row r="49" spans="1:33" ht="20.25" customHeight="1">
      <c r="A49" s="238"/>
      <c r="B49" s="238"/>
    </row>
    <row r="50" spans="1:33" ht="20.25" customHeight="1">
      <c r="A50" s="238"/>
      <c r="B50" s="238"/>
    </row>
    <row r="51" spans="1:33" ht="20.25" customHeight="1">
      <c r="A51" s="238"/>
      <c r="B51" s="238"/>
    </row>
    <row r="52" spans="1:33" ht="20.25" customHeight="1">
      <c r="A52" s="238"/>
      <c r="B52" s="238"/>
    </row>
    <row r="53" spans="1:33" ht="20.25" customHeight="1">
      <c r="A53" s="238"/>
      <c r="B53" s="238"/>
    </row>
    <row r="54" spans="1:33" ht="20.25" customHeight="1">
      <c r="A54" s="238"/>
      <c r="B54" s="238"/>
    </row>
    <row r="55" spans="1:33" ht="20.25" customHeight="1">
      <c r="A55" s="238"/>
      <c r="B55" s="238"/>
    </row>
    <row r="56" spans="1:33" ht="30" customHeight="1">
      <c r="A56" s="238"/>
      <c r="B56" s="238"/>
    </row>
    <row r="57" spans="1:33" ht="14" thickBot="1">
      <c r="A57" s="238"/>
      <c r="B57" s="238"/>
      <c r="AG57" s="469"/>
    </row>
    <row r="58" spans="1:33" s="412" customFormat="1" ht="24.75" customHeight="1">
      <c r="A58" s="957" t="s">
        <v>22</v>
      </c>
      <c r="B58" s="410"/>
      <c r="C58" s="411">
        <f>AP12</f>
        <v>0</v>
      </c>
      <c r="D58" s="411">
        <f t="shared" ref="D58:P58" si="8">AQ12</f>
        <v>0</v>
      </c>
      <c r="E58" s="411">
        <f t="shared" si="8"/>
        <v>1</v>
      </c>
      <c r="F58" s="411">
        <f t="shared" si="8"/>
        <v>2</v>
      </c>
      <c r="G58" s="411">
        <f t="shared" si="8"/>
        <v>3</v>
      </c>
      <c r="H58" s="411">
        <f t="shared" si="8"/>
        <v>4</v>
      </c>
      <c r="I58" s="411">
        <f t="shared" si="8"/>
        <v>5</v>
      </c>
      <c r="J58" s="411">
        <f t="shared" si="8"/>
        <v>6</v>
      </c>
      <c r="K58" s="411">
        <f t="shared" si="8"/>
        <v>7</v>
      </c>
      <c r="L58" s="411">
        <f t="shared" si="8"/>
        <v>8</v>
      </c>
      <c r="M58" s="411">
        <f t="shared" si="8"/>
        <v>9</v>
      </c>
      <c r="N58" s="411">
        <f t="shared" si="8"/>
        <v>10</v>
      </c>
      <c r="O58" s="411">
        <f t="shared" si="8"/>
        <v>11</v>
      </c>
      <c r="P58" s="411">
        <f t="shared" si="8"/>
        <v>12</v>
      </c>
      <c r="Q58" s="411">
        <f>BD12</f>
        <v>13</v>
      </c>
      <c r="R58" s="411">
        <f t="shared" ref="R58:R59" si="9">BE12</f>
        <v>14</v>
      </c>
      <c r="S58" s="411">
        <f t="shared" ref="S58:S59" si="10">BF12</f>
        <v>15</v>
      </c>
      <c r="T58" s="411">
        <f t="shared" ref="T58:T59" si="11">BG12</f>
        <v>16</v>
      </c>
      <c r="U58" s="411">
        <f t="shared" ref="U58:U59" si="12">BH12</f>
        <v>17</v>
      </c>
      <c r="V58" s="411">
        <f t="shared" ref="V58:V59" si="13">BI12</f>
        <v>18</v>
      </c>
      <c r="W58" s="411">
        <f t="shared" ref="W58:W59" si="14">BJ12</f>
        <v>19</v>
      </c>
      <c r="X58" s="411">
        <f t="shared" ref="X58:X59" si="15">BK12</f>
        <v>20</v>
      </c>
      <c r="Y58" s="411"/>
      <c r="Z58" s="411"/>
      <c r="AA58" s="411"/>
      <c r="AB58" s="411"/>
      <c r="AC58" s="411"/>
      <c r="AD58" s="411"/>
      <c r="AE58" s="411"/>
    </row>
    <row r="59" spans="1:33" s="412" customFormat="1" ht="24.75" customHeight="1">
      <c r="A59" s="958"/>
      <c r="B59" s="413"/>
      <c r="C59" s="414">
        <f>AP13</f>
        <v>46113</v>
      </c>
      <c r="D59" s="414">
        <f t="shared" ref="D59:P59" si="16">AQ13</f>
        <v>46124</v>
      </c>
      <c r="E59" s="414">
        <f t="shared" si="16"/>
        <v>46131</v>
      </c>
      <c r="F59" s="414">
        <f t="shared" si="16"/>
        <v>46138</v>
      </c>
      <c r="G59" s="414">
        <f t="shared" si="16"/>
        <v>46145</v>
      </c>
      <c r="H59" s="414">
        <f t="shared" si="16"/>
        <v>46152</v>
      </c>
      <c r="I59" s="414">
        <f t="shared" si="16"/>
        <v>46159</v>
      </c>
      <c r="J59" s="414">
        <f t="shared" si="16"/>
        <v>46166</v>
      </c>
      <c r="K59" s="414">
        <f t="shared" si="16"/>
        <v>46173</v>
      </c>
      <c r="L59" s="414">
        <f t="shared" si="16"/>
        <v>46180</v>
      </c>
      <c r="M59" s="414">
        <f t="shared" si="16"/>
        <v>46187</v>
      </c>
      <c r="N59" s="414">
        <f t="shared" si="16"/>
        <v>46194</v>
      </c>
      <c r="O59" s="414">
        <f t="shared" si="16"/>
        <v>46201</v>
      </c>
      <c r="P59" s="414">
        <f t="shared" si="16"/>
        <v>46208</v>
      </c>
      <c r="Q59" s="414">
        <f>BD13</f>
        <v>46215</v>
      </c>
      <c r="R59" s="414">
        <f t="shared" si="9"/>
        <v>46222</v>
      </c>
      <c r="S59" s="414">
        <f t="shared" si="10"/>
        <v>46229</v>
      </c>
      <c r="T59" s="414">
        <f t="shared" si="11"/>
        <v>46236</v>
      </c>
      <c r="U59" s="414">
        <f t="shared" si="12"/>
        <v>46243</v>
      </c>
      <c r="V59" s="414">
        <f t="shared" si="13"/>
        <v>46250</v>
      </c>
      <c r="W59" s="414">
        <f t="shared" si="14"/>
        <v>46257</v>
      </c>
      <c r="X59" s="414">
        <f t="shared" si="15"/>
        <v>46265</v>
      </c>
      <c r="Y59" s="414"/>
      <c r="Z59" s="414"/>
      <c r="AA59" s="414"/>
      <c r="AB59" s="414"/>
      <c r="AC59" s="414"/>
      <c r="AD59" s="414"/>
      <c r="AE59" s="414"/>
    </row>
    <row r="60" spans="1:33" s="412" customFormat="1" ht="4.5" customHeight="1" thickBot="1">
      <c r="A60" s="415"/>
      <c r="B60" s="416"/>
      <c r="C60" s="424"/>
      <c r="D60" s="428"/>
      <c r="E60" s="428"/>
      <c r="F60" s="428"/>
      <c r="G60" s="428"/>
      <c r="H60" s="428"/>
      <c r="I60" s="428"/>
      <c r="J60" s="428"/>
      <c r="K60" s="428"/>
      <c r="L60" s="428"/>
      <c r="M60" s="501"/>
      <c r="N60" s="428"/>
      <c r="O60" s="428"/>
      <c r="P60" s="428"/>
      <c r="Q60" s="428"/>
      <c r="R60" s="428"/>
      <c r="S60" s="428"/>
      <c r="T60" s="428"/>
      <c r="U60" s="428"/>
      <c r="V60" s="428"/>
      <c r="W60" s="428"/>
      <c r="X60" s="428"/>
      <c r="Y60" s="428"/>
      <c r="Z60" s="428"/>
      <c r="AA60" s="428"/>
      <c r="AB60" s="428"/>
      <c r="AC60" s="428"/>
      <c r="AD60" s="428"/>
      <c r="AE60" s="428"/>
    </row>
    <row r="61" spans="1:33" s="418" customFormat="1" ht="3" customHeight="1" thickBot="1">
      <c r="A61" s="417"/>
      <c r="C61" s="425"/>
      <c r="D61" s="429"/>
      <c r="E61" s="429"/>
      <c r="F61" s="429"/>
      <c r="G61" s="429"/>
      <c r="H61" s="429"/>
      <c r="I61" s="429"/>
      <c r="J61" s="429"/>
      <c r="K61" s="429"/>
      <c r="L61" s="429"/>
      <c r="M61" s="502"/>
      <c r="N61" s="429"/>
      <c r="O61" s="429"/>
      <c r="P61" s="429"/>
      <c r="Q61" s="429"/>
      <c r="R61" s="429"/>
      <c r="S61" s="429"/>
      <c r="T61" s="429"/>
      <c r="U61" s="429"/>
      <c r="V61" s="429"/>
      <c r="W61" s="429"/>
      <c r="X61" s="429"/>
      <c r="Y61" s="429"/>
      <c r="Z61" s="429"/>
      <c r="AA61" s="429"/>
      <c r="AB61" s="429"/>
      <c r="AC61" s="429"/>
      <c r="AD61" s="429"/>
      <c r="AE61" s="429"/>
    </row>
    <row r="62" spans="1:33" s="418" customFormat="1" ht="4.5" customHeight="1">
      <c r="A62" s="419"/>
      <c r="B62" s="420"/>
      <c r="C62" s="426"/>
      <c r="D62" s="426"/>
      <c r="E62" s="426"/>
      <c r="F62" s="426"/>
      <c r="G62" s="426"/>
      <c r="H62" s="426"/>
      <c r="I62" s="426"/>
      <c r="J62" s="426"/>
      <c r="K62" s="426"/>
      <c r="L62" s="426"/>
      <c r="M62" s="503"/>
      <c r="N62" s="426"/>
      <c r="O62" s="426"/>
      <c r="P62" s="426"/>
      <c r="Q62" s="426"/>
      <c r="R62" s="426"/>
      <c r="S62" s="426"/>
      <c r="T62" s="426"/>
      <c r="U62" s="426"/>
      <c r="V62" s="426"/>
      <c r="W62" s="426"/>
      <c r="X62" s="426"/>
      <c r="Y62" s="426"/>
      <c r="Z62" s="426"/>
      <c r="AA62" s="426"/>
      <c r="AB62" s="426"/>
      <c r="AC62" s="426"/>
      <c r="AD62" s="426"/>
      <c r="AE62" s="426"/>
    </row>
    <row r="63" spans="1:33" s="418" customFormat="1" ht="31.5" hidden="1" customHeight="1">
      <c r="A63" s="421" t="s">
        <v>23</v>
      </c>
      <c r="B63" s="422"/>
      <c r="C63" s="427">
        <v>0</v>
      </c>
      <c r="D63" s="427">
        <v>0</v>
      </c>
      <c r="E63" s="427">
        <v>0</v>
      </c>
      <c r="F63" s="427">
        <v>3.9499619889563187E-2</v>
      </c>
      <c r="G63" s="427">
        <v>1.0394996198895601</v>
      </c>
      <c r="H63" s="427">
        <v>1.0394996198895601</v>
      </c>
      <c r="I63" s="427">
        <v>1.0394996198895601</v>
      </c>
      <c r="J63" s="427">
        <v>1.0394996198895601</v>
      </c>
      <c r="K63" s="427">
        <v>1.0394996198895601</v>
      </c>
      <c r="L63" s="427">
        <v>1.0394996198895601</v>
      </c>
      <c r="M63" s="504">
        <v>1.0394996198895601</v>
      </c>
      <c r="N63" s="427">
        <v>1.0394996198895601</v>
      </c>
      <c r="O63" s="427">
        <v>1.0394996198895601</v>
      </c>
      <c r="P63" s="427">
        <v>1.0394996198895601</v>
      </c>
      <c r="Q63" s="427">
        <v>1.0394996198895601</v>
      </c>
      <c r="R63" s="427">
        <v>1.0394996198895601</v>
      </c>
      <c r="S63" s="427">
        <v>1.0394996198895601</v>
      </c>
      <c r="T63" s="427">
        <v>1.0394996198895601</v>
      </c>
      <c r="U63" s="427">
        <v>1.0394996198895601</v>
      </c>
      <c r="V63" s="427">
        <v>1.0394996198895601</v>
      </c>
      <c r="W63" s="427">
        <v>1.0394996198895601</v>
      </c>
      <c r="X63" s="427">
        <v>1.0394996198895601</v>
      </c>
      <c r="Y63" s="427"/>
      <c r="Z63" s="427"/>
      <c r="AA63" s="427"/>
      <c r="AB63" s="427"/>
      <c r="AC63" s="427"/>
      <c r="AD63" s="427"/>
      <c r="AE63" s="427"/>
    </row>
    <row r="64" spans="1:33" s="418" customFormat="1" ht="31.5" customHeight="1">
      <c r="A64" s="779" t="s">
        <v>105</v>
      </c>
      <c r="B64" s="422"/>
      <c r="C64" s="460">
        <f>AP14</f>
        <v>0</v>
      </c>
      <c r="D64" s="460">
        <f t="shared" ref="D64:E66" si="17">AQ14</f>
        <v>0.217725</v>
      </c>
      <c r="E64" s="460">
        <f t="shared" si="17"/>
        <v>0.144065</v>
      </c>
      <c r="F64" s="460">
        <f t="shared" ref="F64:F65" si="18">AS14</f>
        <v>5.7010000000000061E-2</v>
      </c>
      <c r="G64" s="460">
        <f t="shared" ref="G64:G65" si="19">AT14</f>
        <v>1.8759999999999999E-2</v>
      </c>
      <c r="H64" s="460">
        <f t="shared" ref="H64:H65" si="20">AU14</f>
        <v>1.5449999999999964E-2</v>
      </c>
      <c r="I64" s="460">
        <f t="shared" ref="I64:I65" si="21">AV14</f>
        <v>5.9590000000000032E-2</v>
      </c>
      <c r="J64" s="460">
        <f t="shared" ref="J64:J65" si="22">AW14</f>
        <v>9.4249999999999057E-3</v>
      </c>
      <c r="K64" s="460">
        <f t="shared" ref="K64:K65" si="23">AX14</f>
        <v>3.0885000000000051E-2</v>
      </c>
      <c r="L64" s="460">
        <f t="shared" ref="L64:L65" si="24">AY14</f>
        <v>6.2265000000000015E-2</v>
      </c>
      <c r="M64" s="460">
        <f t="shared" ref="M64:M65" si="25">AZ14</f>
        <v>8.0314999999999914E-2</v>
      </c>
      <c r="N64" s="460">
        <f t="shared" ref="N64:P65" si="26">BA14</f>
        <v>8.1860000000000044E-2</v>
      </c>
      <c r="O64" s="460">
        <f t="shared" si="26"/>
        <v>3.0900000000000039E-2</v>
      </c>
      <c r="P64" s="460">
        <f t="shared" si="26"/>
        <v>5.8450000000000002E-2</v>
      </c>
      <c r="Q64" s="460"/>
      <c r="R64" s="460"/>
      <c r="S64" s="462"/>
      <c r="T64" s="462"/>
      <c r="U64" s="462"/>
      <c r="V64" s="462"/>
      <c r="W64" s="462"/>
      <c r="X64" s="462"/>
      <c r="Y64" s="462"/>
      <c r="Z64" s="462"/>
      <c r="AA64" s="462"/>
      <c r="AB64" s="462"/>
      <c r="AC64" s="462"/>
      <c r="AD64" s="462"/>
      <c r="AE64" s="462"/>
    </row>
    <row r="65" spans="1:35" s="813" customFormat="1" ht="36" customHeight="1">
      <c r="A65" s="809" t="s">
        <v>104</v>
      </c>
      <c r="B65" s="810"/>
      <c r="C65" s="811">
        <f t="shared" ref="C65:C70" si="27">AP15</f>
        <v>0</v>
      </c>
      <c r="D65" s="811">
        <f t="shared" si="17"/>
        <v>0.217725</v>
      </c>
      <c r="E65" s="811">
        <f t="shared" si="17"/>
        <v>0.36179</v>
      </c>
      <c r="F65" s="811">
        <f t="shared" si="18"/>
        <v>0.41880000000000006</v>
      </c>
      <c r="G65" s="811">
        <f t="shared" si="19"/>
        <v>0.43756000000000006</v>
      </c>
      <c r="H65" s="811">
        <f t="shared" si="20"/>
        <v>0.45301000000000002</v>
      </c>
      <c r="I65" s="811">
        <f t="shared" si="21"/>
        <v>0.51260000000000006</v>
      </c>
      <c r="J65" s="811">
        <f t="shared" si="22"/>
        <v>0.52202499999999996</v>
      </c>
      <c r="K65" s="811">
        <f t="shared" si="23"/>
        <v>0.55291000000000001</v>
      </c>
      <c r="L65" s="811">
        <f t="shared" si="24"/>
        <v>0.61517500000000003</v>
      </c>
      <c r="M65" s="811">
        <f t="shared" si="25"/>
        <v>0.69548999999999994</v>
      </c>
      <c r="N65" s="811">
        <f t="shared" si="26"/>
        <v>0.77734999999999999</v>
      </c>
      <c r="O65" s="811">
        <f t="shared" si="26"/>
        <v>0.80825000000000002</v>
      </c>
      <c r="P65" s="811">
        <f t="shared" si="26"/>
        <v>0.86670000000000003</v>
      </c>
      <c r="Q65" s="812"/>
      <c r="R65" s="812"/>
      <c r="S65" s="812"/>
      <c r="T65" s="812"/>
      <c r="U65" s="812"/>
      <c r="V65" s="812"/>
      <c r="W65" s="812"/>
      <c r="X65" s="812"/>
      <c r="Y65" s="812"/>
      <c r="Z65" s="812"/>
      <c r="AA65" s="812"/>
      <c r="AB65" s="812"/>
      <c r="AC65" s="812"/>
      <c r="AD65" s="812"/>
      <c r="AE65" s="812"/>
    </row>
    <row r="66" spans="1:35" s="418" customFormat="1" ht="28.5" customHeight="1">
      <c r="A66" s="779" t="s">
        <v>153</v>
      </c>
      <c r="B66" s="780"/>
      <c r="C66" s="460">
        <f t="shared" si="27"/>
        <v>0</v>
      </c>
      <c r="D66" s="460">
        <f t="shared" si="17"/>
        <v>6.3355000000000009E-2</v>
      </c>
      <c r="E66" s="460">
        <f t="shared" si="17"/>
        <v>3.7089999999999998E-2</v>
      </c>
      <c r="F66" s="460">
        <f t="shared" ref="F66" si="28">AS16</f>
        <v>7.1080000000000004E-2</v>
      </c>
      <c r="G66" s="460">
        <f t="shared" ref="G66" si="29">AT16</f>
        <v>4.2594999999999994E-2</v>
      </c>
      <c r="H66" s="460">
        <f t="shared" ref="H66" si="30">AU16</f>
        <v>4.8949999999999966E-2</v>
      </c>
      <c r="I66" s="460">
        <f t="shared" ref="I66" si="31">AV16</f>
        <v>0.12258000000000002</v>
      </c>
      <c r="J66" s="460">
        <f t="shared" ref="J66" si="32">AW16</f>
        <v>8.8225000000000053E-2</v>
      </c>
      <c r="K66" s="460">
        <f t="shared" ref="K66" si="33">AX16</f>
        <v>8.4175E-2</v>
      </c>
      <c r="L66" s="460">
        <f t="shared" ref="L66" si="34">AY16</f>
        <v>3.3475000000000033E-2</v>
      </c>
      <c r="M66" s="460">
        <f t="shared" ref="M66" si="35">AZ16</f>
        <v>9.5794999999999852E-2</v>
      </c>
      <c r="N66" s="460">
        <f t="shared" ref="N66" si="36">BA16</f>
        <v>5.7780000000000054E-2</v>
      </c>
      <c r="O66" s="460">
        <f t="shared" ref="O66" si="37">BB16</f>
        <v>9.0449999999999697E-3</v>
      </c>
      <c r="P66" s="460">
        <f t="shared" ref="P66" si="38">BC16</f>
        <v>0.10560500000000006</v>
      </c>
      <c r="Q66" s="460">
        <f t="shared" ref="Q66" si="39">BD16</f>
        <v>0</v>
      </c>
      <c r="R66" s="460">
        <f t="shared" ref="R66" si="40">BE16</f>
        <v>5.8450000000000002E-2</v>
      </c>
      <c r="S66" s="460">
        <f t="shared" ref="S66" si="41">BF16</f>
        <v>2.3349999999999982E-2</v>
      </c>
      <c r="T66" s="460">
        <f t="shared" ref="T66" si="42">BG16</f>
        <v>5.8450000000000002E-2</v>
      </c>
      <c r="U66" s="460">
        <f t="shared" ref="U66" si="43">BH16</f>
        <v>0</v>
      </c>
      <c r="V66" s="460">
        <f t="shared" ref="V66" si="44">BI16</f>
        <v>0</v>
      </c>
      <c r="W66" s="460">
        <f t="shared" ref="W66" si="45">BJ16</f>
        <v>0</v>
      </c>
      <c r="X66" s="460">
        <f t="shared" ref="X66" si="46">BK16</f>
        <v>0</v>
      </c>
      <c r="Y66" s="468"/>
      <c r="Z66" s="468"/>
      <c r="AA66" s="468"/>
      <c r="AB66" s="468"/>
      <c r="AC66" s="468"/>
      <c r="AD66" s="468"/>
      <c r="AE66" s="468"/>
    </row>
    <row r="67" spans="1:35" s="818" customFormat="1" ht="27.75" customHeight="1">
      <c r="A67" s="814" t="s">
        <v>106</v>
      </c>
      <c r="B67" s="815"/>
      <c r="C67" s="816">
        <f t="shared" si="27"/>
        <v>0</v>
      </c>
      <c r="D67" s="816">
        <f t="shared" ref="D67:D70" si="47">AQ17</f>
        <v>6.3355000000000009E-2</v>
      </c>
      <c r="E67" s="816">
        <f t="shared" ref="E67:E70" si="48">AR17</f>
        <v>0.10044500000000001</v>
      </c>
      <c r="F67" s="816">
        <f t="shared" ref="F67:F70" si="49">AS17</f>
        <v>0.17152500000000001</v>
      </c>
      <c r="G67" s="816">
        <f t="shared" ref="G67:G70" si="50">AT17</f>
        <v>0.21412</v>
      </c>
      <c r="H67" s="816">
        <f t="shared" ref="H67:H70" si="51">AU17</f>
        <v>0.26306999999999997</v>
      </c>
      <c r="I67" s="816">
        <f t="shared" ref="I67:I70" si="52">AV17</f>
        <v>0.38564999999999999</v>
      </c>
      <c r="J67" s="816">
        <f t="shared" ref="J67:J70" si="53">AW17</f>
        <v>0.47387500000000005</v>
      </c>
      <c r="K67" s="816">
        <f t="shared" ref="K67:K70" si="54">AX17</f>
        <v>0.55805000000000005</v>
      </c>
      <c r="L67" s="816">
        <f t="shared" ref="L67:L70" si="55">AY17</f>
        <v>0.59152500000000008</v>
      </c>
      <c r="M67" s="816">
        <f t="shared" ref="M67:M70" si="56">AZ17</f>
        <v>0.68731999999999993</v>
      </c>
      <c r="N67" s="816">
        <f t="shared" ref="N67:P70" si="57">BA17</f>
        <v>0.74509999999999998</v>
      </c>
      <c r="O67" s="816">
        <f t="shared" ref="O67" si="58">BB17</f>
        <v>0.75414499999999995</v>
      </c>
      <c r="P67" s="816">
        <f t="shared" ref="P67" si="59">BC17</f>
        <v>0.85975000000000001</v>
      </c>
      <c r="Q67" s="816">
        <f t="shared" ref="Q67" si="60">BD17</f>
        <v>0.85975000000000001</v>
      </c>
      <c r="R67" s="816">
        <f t="shared" ref="R67" si="61">BE17</f>
        <v>0.91820000000000002</v>
      </c>
      <c r="S67" s="816">
        <f t="shared" ref="S67" si="62">BF17</f>
        <v>0.94155</v>
      </c>
      <c r="T67" s="816">
        <f t="shared" ref="T67" si="63">BG17</f>
        <v>1</v>
      </c>
      <c r="U67" s="816">
        <f t="shared" ref="U67" si="64">BH17</f>
        <v>1</v>
      </c>
      <c r="V67" s="816">
        <f t="shared" ref="V67" si="65">BI17</f>
        <v>1</v>
      </c>
      <c r="W67" s="816">
        <f t="shared" ref="W67" si="66">BJ17</f>
        <v>1</v>
      </c>
      <c r="X67" s="816">
        <f t="shared" ref="X67" si="67">BK17</f>
        <v>1</v>
      </c>
      <c r="Y67" s="817"/>
      <c r="Z67" s="817"/>
      <c r="AA67" s="817"/>
      <c r="AB67" s="817"/>
      <c r="AC67" s="817"/>
      <c r="AD67" s="817"/>
      <c r="AE67" s="817"/>
      <c r="AI67" s="819"/>
    </row>
    <row r="68" spans="1:35" s="412" customFormat="1" ht="22.5" hidden="1" customHeight="1">
      <c r="A68" s="421" t="s">
        <v>147</v>
      </c>
      <c r="B68" s="781"/>
      <c r="C68" s="460">
        <f t="shared" si="27"/>
        <v>0</v>
      </c>
      <c r="D68" s="460">
        <v>0</v>
      </c>
      <c r="E68" s="460">
        <v>0</v>
      </c>
      <c r="F68" s="460">
        <v>0</v>
      </c>
      <c r="G68" s="460">
        <v>0</v>
      </c>
      <c r="H68" s="460">
        <v>0</v>
      </c>
      <c r="I68" s="460">
        <v>0</v>
      </c>
      <c r="J68" s="460">
        <v>0</v>
      </c>
      <c r="K68" s="460">
        <v>0</v>
      </c>
      <c r="L68" s="460">
        <v>0</v>
      </c>
      <c r="M68" s="460">
        <v>0</v>
      </c>
      <c r="N68" s="460">
        <v>0</v>
      </c>
      <c r="O68" s="460">
        <v>0</v>
      </c>
      <c r="P68" s="460">
        <v>0</v>
      </c>
      <c r="Q68" s="423"/>
      <c r="R68" s="423"/>
      <c r="S68" s="423"/>
      <c r="T68" s="423"/>
      <c r="U68" s="423"/>
      <c r="V68" s="423"/>
      <c r="W68" s="423"/>
      <c r="X68" s="423"/>
      <c r="Y68" s="423"/>
      <c r="Z68" s="423"/>
      <c r="AA68" s="423"/>
      <c r="AB68" s="423"/>
      <c r="AC68" s="423"/>
      <c r="AD68" s="423"/>
      <c r="AE68" s="423"/>
    </row>
    <row r="69" spans="1:35" s="412" customFormat="1" ht="22.5" hidden="1" customHeight="1">
      <c r="A69" s="779" t="s">
        <v>148</v>
      </c>
      <c r="B69" s="781"/>
      <c r="C69" s="460">
        <f>AP19</f>
        <v>0</v>
      </c>
      <c r="D69" s="460">
        <v>0</v>
      </c>
      <c r="E69" s="460">
        <v>0</v>
      </c>
      <c r="F69" s="460">
        <v>0</v>
      </c>
      <c r="G69" s="460">
        <v>0</v>
      </c>
      <c r="H69" s="460">
        <v>0</v>
      </c>
      <c r="I69" s="460">
        <v>0</v>
      </c>
      <c r="J69" s="460">
        <v>0</v>
      </c>
      <c r="K69" s="460">
        <v>0</v>
      </c>
      <c r="L69" s="460">
        <v>0</v>
      </c>
      <c r="M69" s="460">
        <v>0</v>
      </c>
      <c r="N69" s="460">
        <v>0</v>
      </c>
      <c r="O69" s="460">
        <v>0</v>
      </c>
      <c r="P69" s="460">
        <v>0</v>
      </c>
      <c r="Q69" s="423"/>
      <c r="R69" s="423"/>
      <c r="S69" s="423"/>
      <c r="T69" s="423"/>
      <c r="U69" s="423"/>
      <c r="V69" s="423"/>
      <c r="W69" s="423"/>
      <c r="X69" s="423"/>
      <c r="Y69" s="423"/>
      <c r="Z69" s="423"/>
      <c r="AA69" s="423"/>
      <c r="AB69" s="423"/>
      <c r="AC69" s="423"/>
      <c r="AD69" s="423"/>
      <c r="AE69" s="423"/>
    </row>
    <row r="70" spans="1:35" s="418" customFormat="1" ht="45" customHeight="1" thickBot="1">
      <c r="A70" s="782" t="s">
        <v>27</v>
      </c>
      <c r="B70" s="783"/>
      <c r="C70" s="460">
        <f t="shared" si="27"/>
        <v>0</v>
      </c>
      <c r="D70" s="460">
        <f t="shared" si="47"/>
        <v>0.15437000000000001</v>
      </c>
      <c r="E70" s="460">
        <f t="shared" si="48"/>
        <v>0.26134499999999999</v>
      </c>
      <c r="F70" s="460">
        <f t="shared" si="49"/>
        <v>0.24727500000000005</v>
      </c>
      <c r="G70" s="460">
        <f t="shared" si="50"/>
        <v>0.22344000000000006</v>
      </c>
      <c r="H70" s="460">
        <f t="shared" si="51"/>
        <v>0.18994000000000005</v>
      </c>
      <c r="I70" s="460">
        <f t="shared" si="52"/>
        <v>0.12695000000000006</v>
      </c>
      <c r="J70" s="460">
        <f t="shared" si="53"/>
        <v>4.8149999999999915E-2</v>
      </c>
      <c r="K70" s="460">
        <f t="shared" si="54"/>
        <v>-5.1400000000000334E-3</v>
      </c>
      <c r="L70" s="460">
        <f t="shared" si="55"/>
        <v>2.3649999999999949E-2</v>
      </c>
      <c r="M70" s="460">
        <f t="shared" si="56"/>
        <v>8.1700000000000106E-3</v>
      </c>
      <c r="N70" s="460">
        <f t="shared" si="57"/>
        <v>3.2250000000000001E-2</v>
      </c>
      <c r="O70" s="460">
        <f t="shared" si="57"/>
        <v>5.410500000000007E-2</v>
      </c>
      <c r="P70" s="460">
        <f t="shared" si="57"/>
        <v>6.9500000000000117E-3</v>
      </c>
      <c r="Q70" s="784"/>
      <c r="R70" s="784"/>
      <c r="S70" s="784"/>
      <c r="T70" s="785"/>
      <c r="U70" s="785"/>
      <c r="V70" s="785"/>
      <c r="W70" s="785"/>
      <c r="X70" s="785"/>
      <c r="Y70" s="463"/>
      <c r="Z70" s="463"/>
      <c r="AA70" s="463"/>
      <c r="AB70" s="463"/>
      <c r="AC70" s="463"/>
      <c r="AD70" s="463"/>
      <c r="AE70" s="463"/>
    </row>
    <row r="71" spans="1:35" ht="5.25" customHeight="1" thickBot="1">
      <c r="A71" s="392"/>
      <c r="B71" s="393"/>
      <c r="C71" s="394"/>
      <c r="D71" s="395"/>
      <c r="E71" s="395"/>
      <c r="F71" s="395"/>
      <c r="G71" s="395"/>
      <c r="H71" s="454"/>
      <c r="I71" s="454"/>
      <c r="J71" s="454"/>
      <c r="K71" s="454"/>
      <c r="L71" s="454"/>
      <c r="M71" s="454"/>
      <c r="N71" s="454"/>
      <c r="O71" s="454"/>
      <c r="P71" s="454"/>
      <c r="Q71" s="454"/>
      <c r="R71" s="454"/>
      <c r="S71" s="454"/>
      <c r="T71" s="454"/>
      <c r="U71" s="454"/>
      <c r="V71" s="454"/>
      <c r="W71" s="454"/>
      <c r="X71" s="454"/>
      <c r="Y71" s="454"/>
      <c r="Z71" s="454"/>
      <c r="AA71" s="454"/>
      <c r="AB71" s="397"/>
      <c r="AC71" s="397"/>
      <c r="AD71" s="397"/>
      <c r="AE71" s="397"/>
    </row>
    <row r="72" spans="1:35" ht="20">
      <c r="A72" s="396"/>
      <c r="B72" s="396"/>
      <c r="C72" s="397"/>
      <c r="D72" s="397"/>
      <c r="E72" s="397"/>
      <c r="F72" s="397"/>
      <c r="G72" s="396"/>
    </row>
    <row r="73" spans="1:35" s="239" customFormat="1" ht="18">
      <c r="C73" s="240"/>
      <c r="D73" s="240"/>
      <c r="E73" s="240"/>
      <c r="F73" s="240"/>
      <c r="G73" s="240"/>
      <c r="J73"/>
      <c r="K73"/>
      <c r="L73"/>
    </row>
  </sheetData>
  <mergeCells count="4">
    <mergeCell ref="A58:A59"/>
    <mergeCell ref="A8:F8"/>
    <mergeCell ref="A1:AG1"/>
    <mergeCell ref="A2:AG2"/>
  </mergeCells>
  <printOptions horizontalCentered="1"/>
  <pageMargins left="0.23622047244094491" right="0.23622047244094491" top="0.74803149606299213" bottom="0.74803149606299213" header="0.31496062992125984" footer="0.31496062992125984"/>
  <pageSetup paperSize="8" scale="25" orientation="landscape" r:id="rId1"/>
  <rowBreaks count="1" manualBreakCount="1">
    <brk id="70" max="3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E2DD-BD01-F540-8B41-208560D50F56}">
  <sheetPr>
    <tabColor rgb="FFFFFF00"/>
  </sheetPr>
  <dimension ref="A3:D17"/>
  <sheetViews>
    <sheetView zoomScale="185" workbookViewId="0">
      <selection activeCell="D12" sqref="D12"/>
    </sheetView>
  </sheetViews>
  <sheetFormatPr baseColWidth="10" defaultRowHeight="13"/>
  <cols>
    <col min="2" max="2" width="12.5" customWidth="1"/>
    <col min="3" max="3" width="12.1640625" customWidth="1"/>
  </cols>
  <sheetData>
    <row r="3" spans="1:4">
      <c r="B3" t="s">
        <v>294</v>
      </c>
      <c r="C3" t="s">
        <v>295</v>
      </c>
    </row>
    <row r="4" spans="1:4">
      <c r="A4" s="962" t="s">
        <v>296</v>
      </c>
      <c r="B4" s="962"/>
      <c r="C4" s="962"/>
      <c r="D4" s="962"/>
    </row>
    <row r="5" spans="1:4">
      <c r="A5" t="s">
        <v>24</v>
      </c>
      <c r="B5" s="552">
        <f>'Exe Sum'!E29</f>
        <v>0.75414499999999995</v>
      </c>
      <c r="C5" s="552">
        <f>'S-Overall'!O67</f>
        <v>0.75414499999999995</v>
      </c>
      <c r="D5" t="str">
        <f>IF(B5=C5,"Sesuai","Tidak Sesuai")</f>
        <v>Sesuai</v>
      </c>
    </row>
    <row r="6" spans="1:4">
      <c r="A6" t="s">
        <v>287</v>
      </c>
      <c r="B6" s="552">
        <f>'Exe Sum'!G29</f>
        <v>0.80825000000000014</v>
      </c>
      <c r="C6" s="552">
        <f>'S-Overall'!O65</f>
        <v>0.80825000000000002</v>
      </c>
      <c r="D6" t="str">
        <f>IF(B6=C6,"Sesuai","Tidak Sesuai")</f>
        <v>Sesuai</v>
      </c>
    </row>
    <row r="7" spans="1:4">
      <c r="A7" t="s">
        <v>59</v>
      </c>
      <c r="B7" s="552">
        <f>'Exe Sum'!H29</f>
        <v>5.4105000000000084E-2</v>
      </c>
      <c r="C7" s="552">
        <f>'S-Overall'!O70</f>
        <v>5.410500000000007E-2</v>
      </c>
      <c r="D7" t="str">
        <f>IF(ROUND(B7,6)=ROUND(C7,6),"Sesuai","Tidak Sesuai")</f>
        <v>Sesuai</v>
      </c>
    </row>
    <row r="8" spans="1:4">
      <c r="B8" s="552"/>
      <c r="C8" s="552"/>
    </row>
    <row r="9" spans="1:4">
      <c r="A9" s="962" t="s">
        <v>30</v>
      </c>
      <c r="B9" s="962"/>
      <c r="C9" s="962"/>
      <c r="D9" s="962"/>
    </row>
    <row r="10" spans="1:4">
      <c r="A10" t="s">
        <v>24</v>
      </c>
      <c r="B10" s="827">
        <f>'Exe Sum'!J29</f>
        <v>0.10560500000000009</v>
      </c>
      <c r="C10" s="827">
        <f>'S-Overall'!P66</f>
        <v>0.10560500000000006</v>
      </c>
      <c r="D10" t="str">
        <f>IF(ROUND(B10,6)=ROUND(C10,6),"Sesuai","Tidak Sesuai")</f>
        <v>Sesuai</v>
      </c>
    </row>
    <row r="11" spans="1:4">
      <c r="A11" t="s">
        <v>287</v>
      </c>
      <c r="B11" s="552">
        <f>'Exe Sum'!L29</f>
        <v>5.8449999999999946E-2</v>
      </c>
      <c r="C11" s="552">
        <f>'S-Overall'!P64</f>
        <v>5.8450000000000002E-2</v>
      </c>
      <c r="D11" t="str">
        <f>IF(ROUND(B11,6)=ROUND(C11,6),"Sesuai","Tidak Sesuai")</f>
        <v>Sesuai</v>
      </c>
    </row>
    <row r="12" spans="1:4">
      <c r="A12" t="s">
        <v>59</v>
      </c>
      <c r="B12" s="828">
        <f>'Exe Sum'!M29</f>
        <v>-4.7155000000000134E-2</v>
      </c>
      <c r="C12" s="828">
        <f>C11-C10</f>
        <v>-4.7155000000000058E-2</v>
      </c>
      <c r="D12" t="str">
        <f>IF(ROUND(B12,6)=ROUND(C12,6),"Sesuai","Tidak Sesuai")</f>
        <v>Sesuai</v>
      </c>
    </row>
    <row r="13" spans="1:4">
      <c r="B13" s="552"/>
      <c r="C13" s="552"/>
    </row>
    <row r="14" spans="1:4">
      <c r="A14" s="962" t="s">
        <v>297</v>
      </c>
      <c r="B14" s="962"/>
      <c r="C14" s="962"/>
      <c r="D14" s="962"/>
    </row>
    <row r="15" spans="1:4">
      <c r="A15" t="s">
        <v>24</v>
      </c>
      <c r="B15" s="552">
        <f>'Exe Sum'!O29</f>
        <v>0.85975000000000001</v>
      </c>
      <c r="C15" s="552">
        <f>'S-Overall'!P67</f>
        <v>0.85975000000000001</v>
      </c>
      <c r="D15" t="str">
        <f>IF(B15=C15,"Sesuai","Tidak Sesuai")</f>
        <v>Sesuai</v>
      </c>
    </row>
    <row r="16" spans="1:4">
      <c r="A16" s="550" t="s">
        <v>287</v>
      </c>
      <c r="B16" s="552">
        <f>'Exe Sum'!Q29</f>
        <v>0.86670000000000003</v>
      </c>
      <c r="C16" s="552">
        <f>'S-Overall'!P65</f>
        <v>0.86670000000000003</v>
      </c>
      <c r="D16" t="str">
        <f>IF(B16=C16,"Sesuai","Tidak Sesuai")</f>
        <v>Sesuai</v>
      </c>
    </row>
    <row r="17" spans="1:4">
      <c r="A17" t="s">
        <v>59</v>
      </c>
      <c r="B17" s="552">
        <f>'Exe Sum'!R29</f>
        <v>6.9499999999999493E-3</v>
      </c>
      <c r="C17" s="552">
        <f>'S-Overall'!P70</f>
        <v>6.9500000000000117E-3</v>
      </c>
      <c r="D17" t="str">
        <f>IF(ROUND(B17,6)=ROUND(C17,6),"Sesuai","Tidak Sesuai")</f>
        <v>Sesuai</v>
      </c>
    </row>
  </sheetData>
  <mergeCells count="3">
    <mergeCell ref="A9:D9"/>
    <mergeCell ref="A4:D4"/>
    <mergeCell ref="A14:D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FFFF00"/>
    <pageSetUpPr fitToPage="1"/>
  </sheetPr>
  <dimension ref="A1:AG468"/>
  <sheetViews>
    <sheetView view="pageBreakPreview" zoomScale="50" zoomScaleNormal="40" zoomScaleSheetLayoutView="50" workbookViewId="0">
      <selection activeCell="D7" sqref="D7"/>
    </sheetView>
  </sheetViews>
  <sheetFormatPr baseColWidth="10" defaultColWidth="9.1640625" defaultRowHeight="14"/>
  <cols>
    <col min="1" max="1" width="7.83203125" style="119" customWidth="1"/>
    <col min="2" max="2" width="6.5" style="119" customWidth="1"/>
    <col min="3" max="3" width="18.5" style="119" bestFit="1" customWidth="1"/>
    <col min="4" max="4" width="11.83203125" style="125" customWidth="1"/>
    <col min="5" max="14" width="11.83203125" style="119" customWidth="1"/>
    <col min="15" max="18" width="5.83203125" style="119" customWidth="1"/>
    <col min="19" max="19" width="8.83203125" style="119" customWidth="1"/>
    <col min="20" max="20" width="9.83203125" style="119" customWidth="1"/>
    <col min="21" max="26" width="5.83203125" style="119" customWidth="1"/>
    <col min="27" max="27" width="6.83203125" style="119" customWidth="1"/>
    <col min="28" max="28" width="15.83203125" style="119" customWidth="1"/>
    <col min="29" max="29" width="12.83203125" style="119" customWidth="1"/>
    <col min="30" max="30" width="10.83203125" style="119" customWidth="1"/>
    <col min="31" max="31" width="4.83203125" style="119" customWidth="1"/>
    <col min="32" max="51" width="9.1640625" style="119"/>
    <col min="52" max="52" width="26.1640625" style="119" customWidth="1"/>
    <col min="53" max="16384" width="9.1640625" style="119"/>
  </cols>
  <sheetData>
    <row r="1" spans="1:32" ht="20.25" customHeight="1">
      <c r="A1" s="901"/>
      <c r="B1" s="902"/>
      <c r="C1" s="902"/>
      <c r="D1" s="904" t="str">
        <f>TOC!E1</f>
        <v>PERTAMINA EP</v>
      </c>
      <c r="E1" s="905"/>
      <c r="F1" s="905"/>
      <c r="G1" s="905"/>
      <c r="H1" s="905"/>
      <c r="I1" s="905"/>
      <c r="J1" s="905"/>
      <c r="K1" s="905"/>
      <c r="L1" s="905"/>
      <c r="M1" s="905"/>
      <c r="N1" s="905"/>
      <c r="O1" s="905"/>
      <c r="P1" s="906"/>
      <c r="Q1" s="117"/>
      <c r="R1" s="117"/>
      <c r="S1" s="117"/>
      <c r="T1" s="117"/>
      <c r="U1" s="117"/>
      <c r="V1" s="117"/>
      <c r="W1" s="117"/>
      <c r="X1" s="117"/>
      <c r="Y1" s="117"/>
      <c r="Z1" s="117"/>
      <c r="AA1" s="117"/>
      <c r="AB1" s="117"/>
      <c r="AC1" s="117"/>
      <c r="AD1" s="117"/>
      <c r="AE1" s="117"/>
      <c r="AF1" s="118"/>
    </row>
    <row r="2" spans="1:32" ht="20.25" customHeight="1">
      <c r="A2" s="910"/>
      <c r="B2" s="911"/>
      <c r="C2" s="911"/>
      <c r="D2" s="954"/>
      <c r="E2" s="955"/>
      <c r="F2" s="955"/>
      <c r="G2" s="955"/>
      <c r="H2" s="955"/>
      <c r="I2" s="955"/>
      <c r="J2" s="955"/>
      <c r="K2" s="955"/>
      <c r="L2" s="955"/>
      <c r="M2" s="955"/>
      <c r="N2" s="955"/>
      <c r="O2" s="955"/>
      <c r="P2" s="956"/>
      <c r="Q2" s="117"/>
      <c r="R2" s="117"/>
      <c r="S2" s="117"/>
      <c r="T2" s="117"/>
      <c r="U2" s="117"/>
      <c r="V2" s="117"/>
      <c r="W2" s="117"/>
      <c r="X2" s="117"/>
      <c r="Y2" s="117"/>
      <c r="Z2" s="117"/>
      <c r="AA2" s="117"/>
      <c r="AB2" s="117"/>
      <c r="AC2" s="117"/>
      <c r="AD2" s="117"/>
      <c r="AE2" s="117"/>
      <c r="AF2" s="120"/>
    </row>
    <row r="3" spans="1:32" ht="20.25" customHeight="1">
      <c r="A3" s="913"/>
      <c r="B3" s="914"/>
      <c r="C3" s="914"/>
      <c r="D3" s="36" t="s">
        <v>48</v>
      </c>
      <c r="E3" s="121"/>
      <c r="F3" s="121"/>
      <c r="G3" s="121"/>
      <c r="H3" s="121"/>
      <c r="I3" s="121"/>
      <c r="J3" s="121"/>
      <c r="K3" s="122"/>
      <c r="L3" s="38" t="s">
        <v>49</v>
      </c>
      <c r="M3" s="123"/>
      <c r="N3" s="123"/>
      <c r="O3" s="123"/>
      <c r="P3" s="124"/>
      <c r="Q3" s="125"/>
      <c r="R3" s="125"/>
      <c r="S3" s="125"/>
      <c r="T3" s="125"/>
      <c r="U3" s="125"/>
      <c r="V3" s="125"/>
      <c r="W3" s="125"/>
      <c r="X3" s="125"/>
      <c r="Y3" s="125"/>
      <c r="Z3" s="125"/>
      <c r="AA3" s="125"/>
      <c r="AB3" s="125"/>
      <c r="AC3" s="126"/>
      <c r="AD3" s="126"/>
      <c r="AE3" s="126"/>
      <c r="AF3" s="120"/>
    </row>
    <row r="4" spans="1:32" s="132" customFormat="1" ht="20.25" customHeight="1">
      <c r="A4" s="916"/>
      <c r="B4" s="917"/>
      <c r="C4" s="917"/>
      <c r="D4" s="40" t="str">
        <f>'Cover Report'!Z1</f>
        <v>Integrated Management Dashboard Production &amp; Project Zona 13</v>
      </c>
      <c r="E4" s="127"/>
      <c r="F4" s="127"/>
      <c r="G4" s="127"/>
      <c r="H4" s="127"/>
      <c r="I4" s="127"/>
      <c r="J4" s="127"/>
      <c r="K4" s="128"/>
      <c r="L4" s="40" t="str">
        <f>'Cover Report'!Z5</f>
        <v>W2026I-DNGF-EM-100-PRG-WLY-0012</v>
      </c>
      <c r="M4" s="129"/>
      <c r="N4" s="129"/>
      <c r="O4" s="129"/>
      <c r="P4" s="130"/>
      <c r="Q4" s="125"/>
      <c r="R4" s="125"/>
      <c r="S4" s="125"/>
      <c r="T4" s="125"/>
      <c r="U4" s="125"/>
      <c r="V4" s="125"/>
      <c r="W4" s="125"/>
      <c r="X4" s="125"/>
      <c r="Y4" s="125"/>
      <c r="Z4" s="125"/>
      <c r="AA4" s="125"/>
      <c r="AB4" s="125"/>
      <c r="AC4" s="126"/>
      <c r="AD4" s="126"/>
      <c r="AE4" s="126"/>
      <c r="AF4" s="131"/>
    </row>
    <row r="5" spans="1:32" ht="20.25" customHeight="1">
      <c r="A5" s="910"/>
      <c r="B5" s="911"/>
      <c r="C5" s="911"/>
      <c r="D5" s="38" t="s">
        <v>50</v>
      </c>
      <c r="E5" s="133"/>
      <c r="F5" s="133"/>
      <c r="G5" s="133"/>
      <c r="H5" s="133"/>
      <c r="I5" s="133"/>
      <c r="J5" s="133"/>
      <c r="K5" s="134"/>
      <c r="L5" s="919" t="s">
        <v>85</v>
      </c>
      <c r="M5" s="920"/>
      <c r="N5" s="920"/>
      <c r="O5" s="920"/>
      <c r="P5" s="921"/>
      <c r="Q5" s="135"/>
      <c r="R5" s="135"/>
      <c r="S5" s="135"/>
      <c r="T5" s="135"/>
      <c r="U5" s="135"/>
      <c r="V5" s="135"/>
      <c r="W5" s="135"/>
      <c r="X5" s="135"/>
      <c r="Y5" s="135"/>
      <c r="Z5" s="135"/>
      <c r="AA5" s="135"/>
      <c r="AB5" s="135"/>
      <c r="AC5" s="135"/>
      <c r="AD5" s="135"/>
      <c r="AE5" s="135"/>
      <c r="AF5" s="120"/>
    </row>
    <row r="6" spans="1:32" ht="20.25" customHeight="1">
      <c r="A6" s="925"/>
      <c r="B6" s="926"/>
      <c r="C6" s="926"/>
      <c r="D6" s="40" t="str">
        <f>TOC!E6</f>
        <v xml:space="preserve">Weekly Report </v>
      </c>
      <c r="E6" s="136"/>
      <c r="F6" s="136"/>
      <c r="G6" s="136"/>
      <c r="H6" s="136"/>
      <c r="I6" s="136"/>
      <c r="J6" s="136"/>
      <c r="K6" s="137"/>
      <c r="L6" s="922"/>
      <c r="M6" s="923"/>
      <c r="N6" s="923"/>
      <c r="O6" s="923"/>
      <c r="P6" s="924"/>
      <c r="Q6" s="135"/>
      <c r="R6" s="135"/>
      <c r="S6" s="135"/>
      <c r="T6" s="135"/>
      <c r="U6" s="135"/>
      <c r="V6" s="135"/>
      <c r="W6" s="135"/>
      <c r="X6" s="135"/>
      <c r="Y6" s="135"/>
      <c r="Z6" s="135"/>
      <c r="AA6" s="135"/>
      <c r="AB6" s="135"/>
      <c r="AC6" s="135"/>
      <c r="AD6" s="135"/>
      <c r="AE6" s="135"/>
      <c r="AF6" s="120"/>
    </row>
    <row r="7" spans="1:32" ht="13" customHeight="1">
      <c r="A7" s="49"/>
      <c r="B7" s="50"/>
      <c r="C7" s="50"/>
      <c r="D7" s="50"/>
      <c r="E7" s="50"/>
      <c r="F7" s="50"/>
      <c r="G7" s="50"/>
      <c r="H7" s="51"/>
      <c r="I7" s="51"/>
      <c r="J7" s="51"/>
      <c r="K7" s="51"/>
      <c r="L7" s="51"/>
      <c r="M7" s="51"/>
      <c r="N7" s="51"/>
      <c r="O7" s="51"/>
      <c r="P7" s="138"/>
      <c r="Q7" s="125"/>
      <c r="R7" s="125"/>
      <c r="S7" s="125"/>
      <c r="T7" s="125"/>
      <c r="U7" s="125"/>
      <c r="V7" s="125"/>
      <c r="W7" s="125"/>
      <c r="X7" s="125"/>
      <c r="Y7" s="125"/>
      <c r="Z7" s="125"/>
      <c r="AA7" s="125"/>
      <c r="AB7" s="125"/>
      <c r="AC7" s="139"/>
      <c r="AD7" s="139"/>
      <c r="AE7" s="139"/>
      <c r="AF7" s="120"/>
    </row>
    <row r="8" spans="1:32" ht="20.25" customHeight="1">
      <c r="A8" s="52"/>
      <c r="B8" s="53"/>
      <c r="C8" s="53"/>
      <c r="D8" s="53"/>
      <c r="E8" s="53"/>
      <c r="F8" s="53"/>
      <c r="G8" s="53"/>
      <c r="H8" s="53"/>
      <c r="I8" s="53"/>
      <c r="J8" s="53"/>
      <c r="K8" s="53"/>
      <c r="L8" s="53"/>
      <c r="M8" s="53"/>
      <c r="N8" s="53"/>
      <c r="O8" s="53"/>
      <c r="P8" s="54"/>
      <c r="Q8" s="53"/>
      <c r="R8" s="53"/>
      <c r="S8" s="53"/>
      <c r="T8" s="53"/>
      <c r="U8" s="53"/>
      <c r="V8" s="53"/>
      <c r="W8" s="53"/>
      <c r="X8" s="53"/>
      <c r="Y8" s="53"/>
      <c r="Z8" s="53"/>
      <c r="AA8" s="53"/>
      <c r="AB8" s="53"/>
      <c r="AC8" s="53"/>
      <c r="AD8" s="53"/>
      <c r="AE8" s="53"/>
      <c r="AF8" s="118"/>
    </row>
    <row r="9" spans="1:32" ht="29.25" customHeight="1">
      <c r="A9" s="101"/>
      <c r="B9" s="102"/>
      <c r="C9" s="102"/>
      <c r="D9" s="102"/>
      <c r="E9" s="102"/>
      <c r="F9" s="102"/>
      <c r="G9" s="102"/>
      <c r="H9" s="102"/>
      <c r="I9" s="102"/>
      <c r="J9" s="102"/>
      <c r="K9" s="102"/>
      <c r="L9" s="102"/>
      <c r="M9" s="102"/>
      <c r="N9" s="102"/>
      <c r="O9" s="102"/>
      <c r="P9" s="103"/>
      <c r="Q9" s="102"/>
      <c r="R9" s="102"/>
      <c r="S9" s="102"/>
      <c r="T9" s="102"/>
      <c r="U9" s="102"/>
      <c r="V9" s="102"/>
      <c r="W9" s="102"/>
      <c r="X9" s="102"/>
      <c r="Y9" s="102"/>
      <c r="Z9" s="102"/>
      <c r="AA9" s="102"/>
      <c r="AB9" s="102"/>
      <c r="AC9" s="102"/>
      <c r="AD9" s="102"/>
      <c r="AE9" s="102"/>
      <c r="AF9" s="118"/>
    </row>
    <row r="10" spans="1:32" ht="30" customHeight="1">
      <c r="A10" s="140"/>
      <c r="B10" s="141"/>
      <c r="C10" s="141"/>
      <c r="D10" s="141"/>
      <c r="E10" s="141"/>
      <c r="F10" s="141"/>
      <c r="G10" s="141"/>
      <c r="H10" s="141"/>
      <c r="I10" s="141"/>
      <c r="J10" s="141"/>
      <c r="K10" s="141"/>
      <c r="L10" s="141"/>
      <c r="M10" s="141"/>
      <c r="N10" s="141"/>
      <c r="O10" s="141"/>
      <c r="P10" s="142"/>
      <c r="Q10" s="143"/>
      <c r="R10" s="143"/>
      <c r="S10" s="143"/>
      <c r="T10" s="143"/>
      <c r="U10" s="143"/>
      <c r="V10" s="143"/>
      <c r="W10" s="143"/>
      <c r="X10" s="143"/>
      <c r="Y10" s="143"/>
      <c r="Z10" s="143"/>
      <c r="AA10" s="143"/>
      <c r="AB10" s="143"/>
      <c r="AC10" s="143"/>
      <c r="AD10" s="143"/>
      <c r="AE10" s="143"/>
      <c r="AF10" s="118"/>
    </row>
    <row r="11" spans="1:32" ht="20.25" customHeight="1">
      <c r="A11" s="144"/>
      <c r="B11" s="145"/>
      <c r="C11" s="145"/>
      <c r="D11" s="145"/>
      <c r="E11" s="145"/>
      <c r="F11" s="145"/>
      <c r="G11" s="145"/>
      <c r="H11" s="145"/>
      <c r="I11" s="145"/>
      <c r="J11" s="145"/>
      <c r="K11" s="145"/>
      <c r="L11" s="145"/>
      <c r="M11" s="145"/>
      <c r="N11" s="145"/>
      <c r="O11" s="145"/>
      <c r="P11" s="146"/>
      <c r="Q11" s="147"/>
      <c r="R11" s="147"/>
      <c r="S11" s="147"/>
      <c r="T11" s="147"/>
      <c r="U11" s="147"/>
      <c r="V11" s="147"/>
      <c r="W11" s="147"/>
      <c r="X11" s="147"/>
      <c r="Y11" s="147"/>
      <c r="Z11" s="147"/>
      <c r="AA11" s="147"/>
      <c r="AB11" s="147"/>
      <c r="AC11" s="147"/>
      <c r="AD11" s="147"/>
      <c r="AE11" s="147"/>
      <c r="AF11" s="118"/>
    </row>
    <row r="12" spans="1:32" ht="25" customHeight="1">
      <c r="A12" s="148"/>
      <c r="B12" s="117"/>
      <c r="C12" s="117"/>
      <c r="D12" s="117"/>
      <c r="E12" s="117"/>
      <c r="F12" s="117"/>
      <c r="G12" s="117"/>
      <c r="H12" s="117"/>
      <c r="I12" s="117"/>
      <c r="J12" s="117"/>
      <c r="K12" s="117"/>
      <c r="L12" s="117"/>
      <c r="M12" s="117"/>
      <c r="N12" s="117"/>
      <c r="O12" s="117"/>
      <c r="P12" s="149"/>
      <c r="Q12" s="117"/>
      <c r="R12" s="117"/>
      <c r="S12" s="117"/>
      <c r="T12" s="117"/>
      <c r="U12" s="117"/>
      <c r="V12" s="117"/>
      <c r="W12" s="117"/>
      <c r="X12" s="117"/>
      <c r="Y12" s="117"/>
      <c r="Z12" s="117"/>
      <c r="AA12" s="117"/>
      <c r="AB12" s="117"/>
      <c r="AC12" s="117"/>
      <c r="AD12" s="117"/>
      <c r="AE12" s="117"/>
      <c r="AF12" s="118"/>
    </row>
    <row r="13" spans="1:32" ht="20.25" customHeight="1">
      <c r="A13" s="58"/>
      <c r="B13" s="59"/>
      <c r="C13" s="73"/>
      <c r="D13" s="73"/>
      <c r="E13" s="73"/>
      <c r="F13" s="73"/>
      <c r="G13" s="73"/>
      <c r="H13" s="73"/>
      <c r="I13" s="73"/>
      <c r="J13" s="73"/>
      <c r="K13" s="73"/>
      <c r="L13" s="73"/>
      <c r="M13" s="73"/>
      <c r="N13" s="73"/>
      <c r="O13" s="73"/>
      <c r="P13" s="150"/>
      <c r="Q13" s="73"/>
      <c r="R13" s="73"/>
      <c r="S13" s="73"/>
      <c r="T13" s="73"/>
      <c r="U13" s="73"/>
      <c r="V13" s="73"/>
      <c r="W13" s="73"/>
      <c r="X13" s="73"/>
      <c r="Y13" s="73"/>
      <c r="Z13" s="73"/>
      <c r="AA13" s="73"/>
      <c r="AB13" s="73"/>
      <c r="AC13" s="73"/>
      <c r="AD13" s="61"/>
      <c r="AE13" s="64"/>
      <c r="AF13" s="118"/>
    </row>
    <row r="14" spans="1:32" ht="20.25" customHeight="1">
      <c r="A14" s="58"/>
      <c r="B14" s="104"/>
      <c r="C14" s="73"/>
      <c r="D14" s="73"/>
      <c r="E14" s="73"/>
      <c r="F14" s="73"/>
      <c r="G14" s="73"/>
      <c r="H14" s="73"/>
      <c r="I14" s="73"/>
      <c r="J14" s="73"/>
      <c r="K14" s="73"/>
      <c r="L14" s="73"/>
      <c r="M14" s="73"/>
      <c r="N14" s="73"/>
      <c r="O14" s="73"/>
      <c r="P14" s="150"/>
      <c r="Q14" s="73"/>
      <c r="R14" s="73"/>
      <c r="S14" s="73"/>
      <c r="T14" s="73"/>
      <c r="U14" s="73"/>
      <c r="V14" s="73"/>
      <c r="W14" s="73"/>
      <c r="X14" s="73"/>
      <c r="Y14" s="73"/>
      <c r="Z14" s="73"/>
      <c r="AA14" s="73"/>
      <c r="AB14" s="73"/>
      <c r="AC14" s="73"/>
      <c r="AD14" s="61"/>
      <c r="AE14" s="64"/>
      <c r="AF14" s="118"/>
    </row>
    <row r="15" spans="1:32" ht="30" customHeight="1">
      <c r="A15" s="67"/>
      <c r="B15" s="99"/>
      <c r="C15" s="100"/>
      <c r="D15" s="99"/>
      <c r="E15" s="100"/>
      <c r="F15" s="100"/>
      <c r="G15" s="100"/>
      <c r="H15" s="99"/>
      <c r="I15" s="99"/>
      <c r="J15" s="99"/>
      <c r="K15" s="100"/>
      <c r="L15" s="100"/>
      <c r="M15" s="100"/>
      <c r="N15" s="100"/>
      <c r="O15" s="64"/>
      <c r="P15" s="62"/>
      <c r="Q15" s="64"/>
      <c r="R15" s="64"/>
      <c r="S15" s="64"/>
      <c r="T15" s="64"/>
      <c r="U15" s="64"/>
      <c r="V15" s="64"/>
      <c r="W15" s="64"/>
      <c r="X15" s="64"/>
      <c r="Y15" s="64"/>
      <c r="Z15" s="64"/>
      <c r="AA15" s="64"/>
      <c r="AB15" s="64"/>
      <c r="AC15" s="64"/>
      <c r="AD15" s="64"/>
      <c r="AE15" s="64"/>
      <c r="AF15" s="118"/>
    </row>
    <row r="16" spans="1:32" ht="30" customHeight="1">
      <c r="A16" s="67"/>
      <c r="B16" s="99"/>
      <c r="C16" s="100"/>
      <c r="D16" s="99"/>
      <c r="E16" s="151"/>
      <c r="F16" s="151"/>
      <c r="G16" s="151"/>
      <c r="H16" s="151"/>
      <c r="I16" s="151"/>
      <c r="J16" s="151"/>
      <c r="K16" s="151"/>
      <c r="L16" s="151"/>
      <c r="M16" s="151"/>
      <c r="N16" s="100"/>
      <c r="O16" s="64"/>
      <c r="P16" s="62"/>
      <c r="Q16" s="64"/>
      <c r="R16" s="64"/>
      <c r="S16" s="64"/>
      <c r="T16" s="64"/>
      <c r="U16" s="64"/>
      <c r="V16" s="64"/>
      <c r="W16" s="64"/>
      <c r="X16" s="64"/>
      <c r="Y16" s="64"/>
      <c r="Z16" s="64"/>
      <c r="AA16" s="64"/>
      <c r="AB16" s="64"/>
      <c r="AC16" s="64"/>
      <c r="AD16" s="64"/>
      <c r="AE16" s="64"/>
      <c r="AF16" s="118"/>
    </row>
    <row r="17" spans="1:32" ht="15" customHeight="1">
      <c r="A17" s="67"/>
      <c r="B17" s="151"/>
      <c r="C17" s="152"/>
      <c r="D17" s="151"/>
      <c r="E17" s="151"/>
      <c r="F17" s="151"/>
      <c r="G17" s="151"/>
      <c r="H17" s="151"/>
      <c r="I17" s="151"/>
      <c r="J17" s="151"/>
      <c r="K17" s="151"/>
      <c r="L17" s="151"/>
      <c r="M17" s="151"/>
      <c r="N17" s="153"/>
      <c r="O17" s="102"/>
      <c r="P17" s="103"/>
      <c r="Q17" s="102"/>
      <c r="R17" s="102"/>
      <c r="S17" s="102"/>
      <c r="T17" s="100"/>
      <c r="U17" s="100"/>
      <c r="V17" s="100"/>
      <c r="W17" s="100"/>
      <c r="X17" s="100"/>
      <c r="Y17" s="100"/>
      <c r="Z17" s="100"/>
      <c r="AA17" s="100"/>
      <c r="AB17" s="100"/>
      <c r="AC17" s="74"/>
      <c r="AD17" s="64"/>
      <c r="AE17" s="64"/>
      <c r="AF17" s="118"/>
    </row>
    <row r="18" spans="1:32" ht="30" customHeight="1">
      <c r="A18" s="67"/>
      <c r="B18" s="114"/>
      <c r="C18" s="154"/>
      <c r="D18" s="155"/>
      <c r="E18" s="156"/>
      <c r="F18" s="156"/>
      <c r="G18" s="156"/>
      <c r="H18" s="156"/>
      <c r="I18" s="156"/>
      <c r="J18" s="156"/>
      <c r="K18" s="156"/>
      <c r="L18" s="156"/>
      <c r="M18" s="156"/>
      <c r="N18" s="157"/>
      <c r="O18" s="74"/>
      <c r="P18" s="75"/>
      <c r="Q18" s="74"/>
      <c r="R18" s="74"/>
      <c r="S18" s="74"/>
      <c r="T18" s="74"/>
      <c r="U18" s="74"/>
      <c r="V18" s="74"/>
      <c r="W18" s="74"/>
      <c r="X18" s="74"/>
      <c r="Y18" s="74"/>
      <c r="Z18" s="74"/>
      <c r="AA18" s="74"/>
      <c r="AB18" s="74"/>
      <c r="AC18" s="74"/>
      <c r="AD18" s="64"/>
      <c r="AE18" s="64"/>
      <c r="AF18" s="118"/>
    </row>
    <row r="19" spans="1:32" ht="30" customHeight="1">
      <c r="A19" s="68"/>
      <c r="B19" s="114"/>
      <c r="C19" s="154"/>
      <c r="D19" s="155"/>
      <c r="E19" s="156"/>
      <c r="F19" s="156"/>
      <c r="G19" s="156"/>
      <c r="H19" s="156"/>
      <c r="I19" s="156"/>
      <c r="J19" s="156"/>
      <c r="K19" s="156"/>
      <c r="L19" s="156"/>
      <c r="M19" s="156"/>
      <c r="N19" s="157"/>
      <c r="O19" s="74"/>
      <c r="P19" s="75"/>
      <c r="Q19" s="74"/>
      <c r="R19" s="74"/>
      <c r="S19" s="74"/>
      <c r="T19" s="158"/>
      <c r="U19" s="158"/>
      <c r="V19" s="158"/>
      <c r="W19" s="159"/>
      <c r="X19" s="159"/>
      <c r="Y19" s="159"/>
      <c r="Z19" s="159"/>
      <c r="AA19" s="158"/>
      <c r="AB19" s="74"/>
      <c r="AC19" s="74"/>
      <c r="AD19" s="69"/>
      <c r="AE19" s="69"/>
      <c r="AF19" s="118"/>
    </row>
    <row r="20" spans="1:32" ht="15" customHeight="1">
      <c r="A20" s="106"/>
      <c r="B20" s="76"/>
      <c r="C20" s="76"/>
      <c r="D20" s="76"/>
      <c r="E20" s="76"/>
      <c r="F20" s="76"/>
      <c r="G20" s="76"/>
      <c r="H20" s="76"/>
      <c r="I20" s="76"/>
      <c r="J20" s="76"/>
      <c r="K20" s="76"/>
      <c r="L20" s="76"/>
      <c r="M20" s="76"/>
      <c r="N20" s="76"/>
      <c r="O20" s="76"/>
      <c r="P20" s="160"/>
      <c r="Q20" s="76"/>
      <c r="R20" s="76"/>
      <c r="S20" s="76"/>
      <c r="T20" s="76"/>
      <c r="U20" s="74"/>
      <c r="V20" s="74"/>
      <c r="W20" s="74"/>
      <c r="X20" s="74"/>
      <c r="Y20" s="74"/>
      <c r="Z20" s="74"/>
      <c r="AA20" s="100"/>
      <c r="AB20" s="161"/>
      <c r="AC20" s="69"/>
      <c r="AD20" s="79"/>
      <c r="AE20" s="79"/>
      <c r="AF20" s="118"/>
    </row>
    <row r="21" spans="1:32" ht="15" customHeight="1">
      <c r="A21" s="106"/>
      <c r="B21" s="76"/>
      <c r="C21" s="76"/>
      <c r="D21" s="76"/>
      <c r="E21" s="76"/>
      <c r="F21" s="76"/>
      <c r="G21" s="76"/>
      <c r="H21" s="76"/>
      <c r="I21" s="76"/>
      <c r="J21" s="76"/>
      <c r="K21" s="76"/>
      <c r="L21" s="76"/>
      <c r="M21" s="76"/>
      <c r="N21" s="76"/>
      <c r="O21" s="76"/>
      <c r="P21" s="160"/>
      <c r="Q21" s="76"/>
      <c r="R21" s="76"/>
      <c r="S21" s="76"/>
      <c r="T21" s="76"/>
      <c r="U21" s="74"/>
      <c r="V21" s="74"/>
      <c r="W21" s="74"/>
      <c r="X21" s="74"/>
      <c r="Y21" s="74"/>
      <c r="Z21" s="74"/>
      <c r="AA21" s="100"/>
      <c r="AB21" s="161"/>
      <c r="AC21" s="69"/>
      <c r="AD21" s="74"/>
      <c r="AE21" s="74"/>
      <c r="AF21" s="118"/>
    </row>
    <row r="22" spans="1:32" ht="15" customHeight="1">
      <c r="A22" s="106"/>
      <c r="B22" s="76"/>
      <c r="C22" s="76"/>
      <c r="D22" s="76"/>
      <c r="E22" s="76"/>
      <c r="F22" s="76"/>
      <c r="G22" s="76"/>
      <c r="H22" s="76"/>
      <c r="I22" s="76"/>
      <c r="J22" s="76"/>
      <c r="K22" s="76"/>
      <c r="L22" s="76"/>
      <c r="M22" s="76"/>
      <c r="N22" s="76"/>
      <c r="O22" s="76"/>
      <c r="P22" s="160"/>
      <c r="Q22" s="76"/>
      <c r="R22" s="76"/>
      <c r="S22" s="76"/>
      <c r="T22" s="76"/>
      <c r="U22" s="74"/>
      <c r="V22" s="74"/>
      <c r="W22" s="74"/>
      <c r="X22" s="74"/>
      <c r="Y22" s="74"/>
      <c r="Z22" s="74"/>
      <c r="AA22" s="100"/>
      <c r="AB22" s="161"/>
      <c r="AC22" s="69"/>
      <c r="AD22" s="79"/>
      <c r="AE22" s="79"/>
      <c r="AF22" s="118"/>
    </row>
    <row r="23" spans="1:32" ht="30" customHeight="1">
      <c r="A23" s="72"/>
      <c r="B23" s="114"/>
      <c r="C23" s="154"/>
      <c r="D23" s="155"/>
      <c r="E23" s="156"/>
      <c r="F23" s="156"/>
      <c r="G23" s="156"/>
      <c r="H23" s="156"/>
      <c r="I23" s="156"/>
      <c r="J23" s="156"/>
      <c r="K23" s="156"/>
      <c r="L23" s="156"/>
      <c r="M23" s="156"/>
      <c r="N23" s="157"/>
      <c r="O23" s="162"/>
      <c r="P23" s="163"/>
      <c r="Q23" s="162"/>
      <c r="R23" s="162"/>
      <c r="S23" s="74"/>
      <c r="T23" s="158"/>
      <c r="U23" s="158"/>
      <c r="V23" s="158"/>
      <c r="W23" s="158"/>
      <c r="X23" s="158"/>
      <c r="Y23" s="158"/>
      <c r="Z23" s="158"/>
      <c r="AA23" s="158"/>
      <c r="AB23" s="74"/>
      <c r="AC23" s="74"/>
      <c r="AD23" s="74"/>
      <c r="AE23" s="74"/>
      <c r="AF23" s="118"/>
    </row>
    <row r="24" spans="1:32" ht="30" customHeight="1">
      <c r="A24" s="106"/>
      <c r="B24" s="114"/>
      <c r="C24" s="154"/>
      <c r="D24" s="155"/>
      <c r="E24" s="156"/>
      <c r="F24" s="156"/>
      <c r="G24" s="156"/>
      <c r="H24" s="156"/>
      <c r="I24" s="156"/>
      <c r="J24" s="156"/>
      <c r="K24" s="156"/>
      <c r="L24" s="156"/>
      <c r="M24" s="156"/>
      <c r="N24" s="157"/>
      <c r="O24" s="74"/>
      <c r="P24" s="75"/>
      <c r="Q24" s="74"/>
      <c r="R24" s="74"/>
      <c r="S24" s="74"/>
      <c r="T24" s="74"/>
      <c r="U24" s="74"/>
      <c r="V24" s="74"/>
      <c r="W24" s="74"/>
      <c r="X24" s="74"/>
      <c r="Y24" s="74"/>
      <c r="Z24" s="74"/>
      <c r="AA24" s="100"/>
      <c r="AB24" s="161"/>
      <c r="AC24" s="69"/>
      <c r="AD24" s="69"/>
      <c r="AE24" s="69"/>
      <c r="AF24" s="118"/>
    </row>
    <row r="25" spans="1:32" ht="30" customHeight="1">
      <c r="A25" s="77"/>
      <c r="B25" s="114"/>
      <c r="C25" s="154"/>
      <c r="D25" s="155"/>
      <c r="E25" s="156"/>
      <c r="F25" s="156"/>
      <c r="G25" s="156"/>
      <c r="H25" s="156"/>
      <c r="I25" s="156"/>
      <c r="J25" s="156"/>
      <c r="K25" s="156"/>
      <c r="L25" s="156"/>
      <c r="M25" s="156"/>
      <c r="N25" s="157"/>
      <c r="O25" s="74"/>
      <c r="P25" s="75"/>
      <c r="Q25" s="74"/>
      <c r="R25" s="74"/>
      <c r="S25" s="74"/>
      <c r="T25" s="74"/>
      <c r="U25" s="74"/>
      <c r="V25" s="74"/>
      <c r="W25" s="74"/>
      <c r="X25" s="74"/>
      <c r="Y25" s="74"/>
      <c r="Z25" s="74"/>
      <c r="AA25" s="100"/>
      <c r="AB25" s="161"/>
      <c r="AC25" s="69"/>
      <c r="AD25" s="74"/>
      <c r="AE25" s="74"/>
      <c r="AF25" s="118"/>
    </row>
    <row r="26" spans="1:32" ht="15" customHeight="1">
      <c r="A26" s="78"/>
      <c r="B26" s="164"/>
      <c r="C26" s="157"/>
      <c r="D26" s="165"/>
      <c r="E26" s="166"/>
      <c r="F26" s="166"/>
      <c r="G26" s="166"/>
      <c r="H26" s="166"/>
      <c r="I26" s="166"/>
      <c r="J26" s="166"/>
      <c r="K26" s="166"/>
      <c r="L26" s="166"/>
      <c r="M26" s="166"/>
      <c r="N26" s="157"/>
      <c r="O26" s="74"/>
      <c r="P26" s="75"/>
      <c r="Q26" s="74"/>
      <c r="R26" s="74"/>
      <c r="S26" s="74"/>
      <c r="T26" s="74"/>
      <c r="U26" s="74"/>
      <c r="V26" s="74"/>
      <c r="W26" s="74"/>
      <c r="X26" s="74"/>
      <c r="Y26" s="74"/>
      <c r="Z26" s="74"/>
      <c r="AA26" s="100"/>
      <c r="AB26" s="161"/>
      <c r="AC26" s="69"/>
      <c r="AD26" s="79"/>
      <c r="AE26" s="79"/>
      <c r="AF26" s="118"/>
    </row>
    <row r="27" spans="1:32" ht="60" customHeight="1">
      <c r="A27" s="948" t="s">
        <v>90</v>
      </c>
      <c r="B27" s="949"/>
      <c r="C27" s="949"/>
      <c r="D27" s="949"/>
      <c r="E27" s="949"/>
      <c r="F27" s="949"/>
      <c r="G27" s="949"/>
      <c r="H27" s="949"/>
      <c r="I27" s="949"/>
      <c r="J27" s="949"/>
      <c r="K27" s="949"/>
      <c r="L27" s="949"/>
      <c r="M27" s="949"/>
      <c r="N27" s="949"/>
      <c r="O27" s="949"/>
      <c r="P27" s="950"/>
      <c r="Q27" s="74"/>
      <c r="R27" s="74"/>
      <c r="S27" s="74"/>
      <c r="T27" s="74"/>
      <c r="U27" s="74"/>
      <c r="V27" s="74"/>
      <c r="W27" s="74"/>
      <c r="X27" s="74"/>
      <c r="Y27" s="74"/>
      <c r="Z27" s="74"/>
      <c r="AA27" s="100"/>
      <c r="AB27" s="161"/>
      <c r="AC27" s="69"/>
      <c r="AD27" s="69"/>
      <c r="AE27" s="69"/>
      <c r="AF27" s="118"/>
    </row>
    <row r="28" spans="1:32" ht="30" customHeight="1">
      <c r="A28" s="167"/>
      <c r="B28" s="168"/>
      <c r="C28" s="169"/>
      <c r="D28" s="169"/>
      <c r="E28" s="169"/>
      <c r="F28" s="169"/>
      <c r="G28" s="169"/>
      <c r="H28" s="169"/>
      <c r="I28" s="169"/>
      <c r="J28" s="169"/>
      <c r="K28" s="169"/>
      <c r="L28" s="169"/>
      <c r="M28" s="169"/>
      <c r="N28" s="169"/>
      <c r="O28" s="170"/>
      <c r="P28" s="171"/>
      <c r="Q28" s="74"/>
      <c r="R28" s="74"/>
      <c r="S28" s="74"/>
      <c r="T28" s="74"/>
      <c r="U28" s="74"/>
      <c r="V28" s="74"/>
      <c r="W28" s="74"/>
      <c r="X28" s="74"/>
      <c r="Y28" s="74"/>
      <c r="Z28" s="74"/>
      <c r="AA28" s="100"/>
      <c r="AB28" s="161"/>
      <c r="AC28" s="69"/>
      <c r="AD28" s="74"/>
      <c r="AE28" s="74"/>
      <c r="AF28" s="118"/>
    </row>
    <row r="29" spans="1:32" ht="60" customHeight="1">
      <c r="A29" s="951" t="s">
        <v>91</v>
      </c>
      <c r="B29" s="952"/>
      <c r="C29" s="952"/>
      <c r="D29" s="952"/>
      <c r="E29" s="952"/>
      <c r="F29" s="952"/>
      <c r="G29" s="952"/>
      <c r="H29" s="952"/>
      <c r="I29" s="952"/>
      <c r="J29" s="952"/>
      <c r="K29" s="952"/>
      <c r="L29" s="952"/>
      <c r="M29" s="952"/>
      <c r="N29" s="952"/>
      <c r="O29" s="952"/>
      <c r="P29" s="953"/>
      <c r="Q29" s="74"/>
      <c r="R29" s="74"/>
      <c r="S29" s="74"/>
      <c r="T29" s="74"/>
      <c r="U29" s="74"/>
      <c r="V29" s="74"/>
      <c r="W29" s="74"/>
      <c r="X29" s="74"/>
      <c r="Y29" s="74"/>
      <c r="Z29" s="74"/>
      <c r="AA29" s="100"/>
      <c r="AB29" s="161"/>
      <c r="AC29" s="69"/>
      <c r="AD29" s="79"/>
      <c r="AE29" s="79"/>
      <c r="AF29" s="118"/>
    </row>
    <row r="30" spans="1:32" ht="15" customHeight="1">
      <c r="A30" s="106"/>
      <c r="B30" s="64"/>
      <c r="C30" s="64"/>
      <c r="D30" s="64"/>
      <c r="E30" s="64"/>
      <c r="F30" s="64"/>
      <c r="G30" s="64"/>
      <c r="H30" s="64"/>
      <c r="I30" s="64"/>
      <c r="J30" s="64"/>
      <c r="K30" s="64"/>
      <c r="L30" s="64"/>
      <c r="M30" s="64"/>
      <c r="N30" s="64"/>
      <c r="O30" s="74"/>
      <c r="P30" s="75"/>
      <c r="Q30" s="74"/>
      <c r="R30" s="74"/>
      <c r="S30" s="74"/>
      <c r="T30" s="74"/>
      <c r="U30" s="74"/>
      <c r="V30" s="74"/>
      <c r="W30" s="74"/>
      <c r="X30" s="74"/>
      <c r="Y30" s="74"/>
      <c r="Z30" s="74"/>
      <c r="AA30" s="100"/>
      <c r="AB30" s="161"/>
      <c r="AC30" s="69"/>
      <c r="AD30" s="69"/>
      <c r="AE30" s="69"/>
      <c r="AF30" s="118"/>
    </row>
    <row r="31" spans="1:32" ht="15" customHeight="1">
      <c r="A31" s="77"/>
      <c r="B31" s="105"/>
      <c r="C31" s="64"/>
      <c r="D31" s="64"/>
      <c r="E31" s="64"/>
      <c r="F31" s="64"/>
      <c r="G31" s="64"/>
      <c r="H31" s="64"/>
      <c r="I31" s="64"/>
      <c r="J31" s="64"/>
      <c r="K31" s="64"/>
      <c r="L31" s="64"/>
      <c r="M31" s="64"/>
      <c r="N31" s="64"/>
      <c r="O31" s="74"/>
      <c r="P31" s="75"/>
      <c r="Q31" s="74"/>
      <c r="R31" s="74"/>
      <c r="S31" s="74"/>
      <c r="T31" s="74"/>
      <c r="U31" s="74"/>
      <c r="V31" s="74"/>
      <c r="W31" s="74"/>
      <c r="X31" s="74"/>
      <c r="Y31" s="74"/>
      <c r="Z31" s="74"/>
      <c r="AA31" s="100"/>
      <c r="AB31" s="161"/>
      <c r="AC31" s="69"/>
      <c r="AD31" s="74"/>
      <c r="AE31" s="74"/>
      <c r="AF31" s="118"/>
    </row>
    <row r="32" spans="1:32" ht="15" customHeight="1">
      <c r="A32" s="78"/>
      <c r="B32" s="108"/>
      <c r="C32" s="74"/>
      <c r="D32" s="102"/>
      <c r="E32" s="102"/>
      <c r="F32" s="102"/>
      <c r="G32" s="102"/>
      <c r="H32" s="102"/>
      <c r="I32" s="102"/>
      <c r="J32" s="102"/>
      <c r="K32" s="102"/>
      <c r="L32" s="102"/>
      <c r="M32" s="102"/>
      <c r="N32" s="102"/>
      <c r="O32" s="74"/>
      <c r="P32" s="75"/>
      <c r="Q32" s="74"/>
      <c r="R32" s="74"/>
      <c r="S32" s="74"/>
      <c r="T32" s="74"/>
      <c r="U32" s="74"/>
      <c r="V32" s="74"/>
      <c r="W32" s="74"/>
      <c r="X32" s="74"/>
      <c r="Y32" s="74"/>
      <c r="Z32" s="74"/>
      <c r="AA32" s="100"/>
      <c r="AB32" s="161"/>
      <c r="AC32" s="69"/>
      <c r="AD32" s="79"/>
      <c r="AE32" s="79"/>
      <c r="AF32" s="118"/>
    </row>
    <row r="33" spans="1:32" ht="15" customHeight="1">
      <c r="A33" s="106"/>
      <c r="B33" s="76"/>
      <c r="C33" s="76"/>
      <c r="D33" s="76"/>
      <c r="E33" s="76"/>
      <c r="F33" s="76"/>
      <c r="G33" s="76"/>
      <c r="H33" s="76"/>
      <c r="I33" s="76"/>
      <c r="J33" s="76"/>
      <c r="K33" s="76"/>
      <c r="L33" s="76"/>
      <c r="M33" s="76"/>
      <c r="N33" s="76"/>
      <c r="O33" s="76"/>
      <c r="P33" s="160"/>
      <c r="Q33" s="76"/>
      <c r="R33" s="76"/>
      <c r="S33" s="76"/>
      <c r="T33" s="76"/>
      <c r="U33" s="74"/>
      <c r="V33" s="74"/>
      <c r="W33" s="74"/>
      <c r="X33" s="74"/>
      <c r="Y33" s="74"/>
      <c r="Z33" s="74"/>
      <c r="AA33" s="100"/>
      <c r="AB33" s="161"/>
      <c r="AC33" s="69"/>
      <c r="AD33" s="69"/>
      <c r="AE33" s="69"/>
      <c r="AF33" s="118"/>
    </row>
    <row r="34" spans="1:32" ht="15" customHeight="1">
      <c r="A34" s="106"/>
      <c r="B34" s="76"/>
      <c r="C34" s="76"/>
      <c r="D34" s="76"/>
      <c r="E34" s="76"/>
      <c r="F34" s="76"/>
      <c r="G34" s="76"/>
      <c r="H34" s="76"/>
      <c r="I34" s="76"/>
      <c r="J34" s="76"/>
      <c r="K34" s="76"/>
      <c r="L34" s="76"/>
      <c r="M34" s="76"/>
      <c r="N34" s="76"/>
      <c r="O34" s="76"/>
      <c r="P34" s="160"/>
      <c r="Q34" s="76"/>
      <c r="R34" s="76"/>
      <c r="S34" s="76"/>
      <c r="T34" s="76"/>
      <c r="U34" s="74"/>
      <c r="V34" s="74"/>
      <c r="W34" s="74"/>
      <c r="X34" s="74"/>
      <c r="Y34" s="74"/>
      <c r="Z34" s="74"/>
      <c r="AA34" s="100"/>
      <c r="AB34" s="161"/>
      <c r="AC34" s="69"/>
      <c r="AD34" s="74"/>
      <c r="AE34" s="74"/>
      <c r="AF34" s="118"/>
    </row>
    <row r="35" spans="1:32" ht="15" customHeight="1">
      <c r="A35" s="78"/>
      <c r="B35" s="108"/>
      <c r="C35" s="74"/>
      <c r="D35" s="102"/>
      <c r="E35" s="102"/>
      <c r="F35" s="102"/>
      <c r="G35" s="102"/>
      <c r="H35" s="102"/>
      <c r="I35" s="102"/>
      <c r="J35" s="102"/>
      <c r="K35" s="102"/>
      <c r="L35" s="102"/>
      <c r="M35" s="102"/>
      <c r="N35" s="102"/>
      <c r="O35" s="74"/>
      <c r="P35" s="75"/>
      <c r="Q35" s="74"/>
      <c r="R35" s="74"/>
      <c r="S35" s="74"/>
      <c r="T35" s="74"/>
      <c r="U35" s="74"/>
      <c r="V35" s="74"/>
      <c r="W35" s="74"/>
      <c r="X35" s="74"/>
      <c r="Y35" s="74"/>
      <c r="Z35" s="74"/>
      <c r="AA35" s="100"/>
      <c r="AB35" s="161"/>
      <c r="AC35" s="69"/>
      <c r="AD35" s="79"/>
      <c r="AE35" s="79"/>
      <c r="AF35" s="118"/>
    </row>
    <row r="36" spans="1:32" ht="15" customHeight="1">
      <c r="A36" s="106"/>
      <c r="B36" s="76"/>
      <c r="C36" s="76"/>
      <c r="D36" s="76"/>
      <c r="E36" s="76"/>
      <c r="F36" s="76"/>
      <c r="G36" s="76"/>
      <c r="H36" s="76"/>
      <c r="I36" s="76"/>
      <c r="J36" s="76"/>
      <c r="K36" s="76"/>
      <c r="L36" s="76"/>
      <c r="M36" s="76"/>
      <c r="N36" s="76"/>
      <c r="O36" s="76"/>
      <c r="P36" s="160"/>
      <c r="Q36" s="76"/>
      <c r="R36" s="76"/>
      <c r="S36" s="76"/>
      <c r="T36" s="76"/>
      <c r="U36" s="74"/>
      <c r="V36" s="74"/>
      <c r="W36" s="74"/>
      <c r="X36" s="74"/>
      <c r="Y36" s="74"/>
      <c r="Z36" s="74"/>
      <c r="AA36" s="100"/>
      <c r="AB36" s="161"/>
      <c r="AC36" s="69"/>
      <c r="AD36" s="79"/>
      <c r="AE36" s="79"/>
      <c r="AF36" s="118"/>
    </row>
    <row r="37" spans="1:32" ht="15" customHeight="1">
      <c r="A37" s="106"/>
      <c r="B37" s="76"/>
      <c r="C37" s="76"/>
      <c r="D37" s="76"/>
      <c r="E37" s="76"/>
      <c r="F37" s="76"/>
      <c r="G37" s="76"/>
      <c r="H37" s="76"/>
      <c r="I37" s="76"/>
      <c r="J37" s="76"/>
      <c r="K37" s="76"/>
      <c r="L37" s="76"/>
      <c r="M37" s="76"/>
      <c r="N37" s="76"/>
      <c r="O37" s="76"/>
      <c r="P37" s="160"/>
      <c r="Q37" s="76"/>
      <c r="R37" s="76"/>
      <c r="S37" s="76"/>
      <c r="T37" s="76"/>
      <c r="U37" s="74"/>
      <c r="V37" s="74"/>
      <c r="W37" s="74"/>
      <c r="X37" s="74"/>
      <c r="Y37" s="74"/>
      <c r="Z37" s="74"/>
      <c r="AA37" s="100"/>
      <c r="AB37" s="161"/>
      <c r="AC37" s="69"/>
      <c r="AD37" s="69"/>
      <c r="AE37" s="69"/>
      <c r="AF37" s="118"/>
    </row>
    <row r="38" spans="1:32" ht="15" customHeight="1">
      <c r="A38" s="106"/>
      <c r="B38" s="64"/>
      <c r="C38" s="64"/>
      <c r="D38" s="64"/>
      <c r="E38" s="64"/>
      <c r="F38" s="64"/>
      <c r="G38" s="64"/>
      <c r="H38" s="64"/>
      <c r="I38" s="64"/>
      <c r="J38" s="64"/>
      <c r="K38" s="64"/>
      <c r="L38" s="64"/>
      <c r="M38" s="64"/>
      <c r="N38" s="64"/>
      <c r="O38" s="74"/>
      <c r="P38" s="75"/>
      <c r="Q38" s="74"/>
      <c r="R38" s="74"/>
      <c r="S38" s="74"/>
      <c r="T38" s="74"/>
      <c r="U38" s="74"/>
      <c r="V38" s="74"/>
      <c r="W38" s="74"/>
      <c r="X38" s="74"/>
      <c r="Y38" s="74"/>
      <c r="Z38" s="74"/>
      <c r="AA38" s="100"/>
      <c r="AB38" s="161"/>
      <c r="AC38" s="69"/>
      <c r="AD38" s="69"/>
      <c r="AE38" s="69"/>
      <c r="AF38" s="118"/>
    </row>
    <row r="39" spans="1:32" ht="15" customHeight="1">
      <c r="A39" s="106"/>
      <c r="B39" s="76"/>
      <c r="C39" s="76"/>
      <c r="D39" s="76"/>
      <c r="E39" s="76"/>
      <c r="F39" s="76"/>
      <c r="G39" s="76"/>
      <c r="H39" s="76"/>
      <c r="I39" s="76"/>
      <c r="J39" s="76"/>
      <c r="K39" s="76"/>
      <c r="L39" s="76"/>
      <c r="M39" s="76"/>
      <c r="N39" s="76"/>
      <c r="O39" s="76"/>
      <c r="P39" s="160"/>
      <c r="Q39" s="76"/>
      <c r="R39" s="76"/>
      <c r="S39" s="76"/>
      <c r="T39" s="76"/>
      <c r="U39" s="74"/>
      <c r="V39" s="74"/>
      <c r="W39" s="74"/>
      <c r="X39" s="74"/>
      <c r="Y39" s="74"/>
      <c r="Z39" s="74"/>
      <c r="AA39" s="100"/>
      <c r="AB39" s="161"/>
      <c r="AC39" s="69"/>
      <c r="AD39" s="79"/>
      <c r="AE39" s="79"/>
      <c r="AF39" s="118"/>
    </row>
    <row r="40" spans="1:32" ht="15" customHeight="1">
      <c r="A40" s="106"/>
      <c r="B40" s="76"/>
      <c r="C40" s="76"/>
      <c r="D40" s="76"/>
      <c r="E40" s="76"/>
      <c r="F40" s="76"/>
      <c r="G40" s="76"/>
      <c r="H40" s="76"/>
      <c r="I40" s="76"/>
      <c r="J40" s="76"/>
      <c r="K40" s="76"/>
      <c r="L40" s="76"/>
      <c r="M40" s="76"/>
      <c r="N40" s="76"/>
      <c r="O40" s="76"/>
      <c r="P40" s="160"/>
      <c r="Q40" s="76"/>
      <c r="R40" s="76"/>
      <c r="S40" s="76"/>
      <c r="T40" s="76"/>
      <c r="U40" s="74"/>
      <c r="V40" s="74"/>
      <c r="W40" s="74"/>
      <c r="X40" s="74"/>
      <c r="Y40" s="74"/>
      <c r="Z40" s="74"/>
      <c r="AA40" s="100"/>
      <c r="AB40" s="161"/>
      <c r="AC40" s="69"/>
      <c r="AD40" s="79"/>
      <c r="AE40" s="79"/>
      <c r="AF40" s="118"/>
    </row>
    <row r="41" spans="1:32" ht="15" customHeight="1">
      <c r="A41" s="106"/>
      <c r="B41" s="76"/>
      <c r="C41" s="76"/>
      <c r="D41" s="76"/>
      <c r="E41" s="76"/>
      <c r="F41" s="76"/>
      <c r="G41" s="76"/>
      <c r="H41" s="76"/>
      <c r="I41" s="76"/>
      <c r="J41" s="76"/>
      <c r="K41" s="76"/>
      <c r="L41" s="76"/>
      <c r="M41" s="76"/>
      <c r="N41" s="76"/>
      <c r="O41" s="76"/>
      <c r="P41" s="160"/>
      <c r="Q41" s="76"/>
      <c r="R41" s="76"/>
      <c r="S41" s="76"/>
      <c r="T41" s="76"/>
      <c r="U41" s="74"/>
      <c r="V41" s="74"/>
      <c r="W41" s="74"/>
      <c r="X41" s="74"/>
      <c r="Y41" s="74"/>
      <c r="Z41" s="74"/>
      <c r="AA41" s="100"/>
      <c r="AB41" s="161"/>
      <c r="AC41" s="69"/>
      <c r="AD41" s="69"/>
      <c r="AE41" s="69"/>
      <c r="AF41" s="118"/>
    </row>
    <row r="42" spans="1:32" ht="15" customHeight="1">
      <c r="A42" s="106"/>
      <c r="B42" s="76"/>
      <c r="C42" s="76"/>
      <c r="D42" s="76"/>
      <c r="E42" s="76"/>
      <c r="F42" s="76"/>
      <c r="G42" s="76"/>
      <c r="H42" s="76"/>
      <c r="I42" s="76"/>
      <c r="J42" s="76"/>
      <c r="K42" s="76"/>
      <c r="L42" s="76"/>
      <c r="M42" s="76"/>
      <c r="N42" s="76"/>
      <c r="O42" s="76"/>
      <c r="P42" s="160"/>
      <c r="Q42" s="76"/>
      <c r="R42" s="76"/>
      <c r="S42" s="76"/>
      <c r="T42" s="76"/>
      <c r="U42" s="74"/>
      <c r="V42" s="74"/>
      <c r="W42" s="74"/>
      <c r="X42" s="74"/>
      <c r="Y42" s="74"/>
      <c r="Z42" s="74"/>
      <c r="AA42" s="100"/>
      <c r="AB42" s="161"/>
      <c r="AC42" s="69"/>
      <c r="AD42" s="74"/>
      <c r="AE42" s="74"/>
      <c r="AF42" s="118"/>
    </row>
    <row r="43" spans="1:32" ht="15" customHeight="1">
      <c r="A43" s="106"/>
      <c r="B43" s="76"/>
      <c r="C43" s="76"/>
      <c r="D43" s="76"/>
      <c r="E43" s="76"/>
      <c r="F43" s="76"/>
      <c r="G43" s="76"/>
      <c r="H43" s="76"/>
      <c r="I43" s="76"/>
      <c r="J43" s="76"/>
      <c r="K43" s="76"/>
      <c r="L43" s="76"/>
      <c r="M43" s="76"/>
      <c r="N43" s="76"/>
      <c r="O43" s="76"/>
      <c r="P43" s="160"/>
      <c r="Q43" s="76"/>
      <c r="R43" s="76"/>
      <c r="S43" s="76"/>
      <c r="T43" s="76"/>
      <c r="U43" s="74"/>
      <c r="V43" s="74"/>
      <c r="W43" s="74"/>
      <c r="X43" s="74"/>
      <c r="Y43" s="74"/>
      <c r="Z43" s="74"/>
      <c r="AA43" s="100"/>
      <c r="AB43" s="161"/>
      <c r="AC43" s="69"/>
      <c r="AD43" s="79"/>
      <c r="AE43" s="79"/>
      <c r="AF43" s="118"/>
    </row>
    <row r="44" spans="1:32" ht="15" customHeight="1">
      <c r="A44" s="106"/>
      <c r="B44" s="76"/>
      <c r="C44" s="76"/>
      <c r="D44" s="76"/>
      <c r="E44" s="76"/>
      <c r="F44" s="76"/>
      <c r="G44" s="76"/>
      <c r="H44" s="76"/>
      <c r="I44" s="76"/>
      <c r="J44" s="76"/>
      <c r="K44" s="76"/>
      <c r="L44" s="76"/>
      <c r="M44" s="76"/>
      <c r="N44" s="76"/>
      <c r="O44" s="76"/>
      <c r="P44" s="160"/>
      <c r="Q44" s="76"/>
      <c r="R44" s="76"/>
      <c r="S44" s="76"/>
      <c r="T44" s="76"/>
      <c r="U44" s="74"/>
      <c r="V44" s="74"/>
      <c r="W44" s="74"/>
      <c r="X44" s="74"/>
      <c r="Y44" s="74"/>
      <c r="Z44" s="74"/>
      <c r="AA44" s="100"/>
      <c r="AB44" s="161"/>
      <c r="AC44" s="69"/>
      <c r="AD44" s="79"/>
      <c r="AE44" s="79"/>
      <c r="AF44" s="118"/>
    </row>
    <row r="45" spans="1:32" ht="15" customHeight="1">
      <c r="A45" s="106"/>
      <c r="B45" s="76"/>
      <c r="C45" s="76"/>
      <c r="D45" s="76"/>
      <c r="E45" s="76"/>
      <c r="F45" s="76"/>
      <c r="G45" s="76"/>
      <c r="H45" s="76"/>
      <c r="I45" s="76"/>
      <c r="J45" s="76"/>
      <c r="K45" s="76"/>
      <c r="L45" s="76"/>
      <c r="M45" s="76"/>
      <c r="N45" s="76"/>
      <c r="O45" s="76"/>
      <c r="P45" s="160"/>
      <c r="Q45" s="76"/>
      <c r="R45" s="76"/>
      <c r="S45" s="76"/>
      <c r="T45" s="76"/>
      <c r="U45" s="74"/>
      <c r="V45" s="74"/>
      <c r="W45" s="74"/>
      <c r="X45" s="74"/>
      <c r="Y45" s="74"/>
      <c r="Z45" s="74"/>
      <c r="AA45" s="100"/>
      <c r="AB45" s="161"/>
      <c r="AC45" s="69"/>
      <c r="AD45" s="69"/>
      <c r="AE45" s="69"/>
      <c r="AF45" s="118"/>
    </row>
    <row r="46" spans="1:32" ht="15" customHeight="1">
      <c r="A46" s="106"/>
      <c r="B46" s="76"/>
      <c r="C46" s="76"/>
      <c r="D46" s="76"/>
      <c r="E46" s="76"/>
      <c r="F46" s="76"/>
      <c r="G46" s="76"/>
      <c r="H46" s="76"/>
      <c r="I46" s="76"/>
      <c r="J46" s="76"/>
      <c r="K46" s="76"/>
      <c r="L46" s="76"/>
      <c r="M46" s="76"/>
      <c r="N46" s="76"/>
      <c r="O46" s="76"/>
      <c r="P46" s="160"/>
      <c r="Q46" s="76"/>
      <c r="R46" s="76"/>
      <c r="S46" s="76"/>
      <c r="T46" s="76"/>
      <c r="U46" s="74"/>
      <c r="V46" s="74"/>
      <c r="W46" s="74"/>
      <c r="X46" s="74"/>
      <c r="Y46" s="74"/>
      <c r="Z46" s="74"/>
      <c r="AA46" s="100"/>
      <c r="AB46" s="161"/>
      <c r="AC46" s="69"/>
      <c r="AD46" s="74"/>
      <c r="AE46" s="74"/>
      <c r="AF46" s="118"/>
    </row>
    <row r="47" spans="1:32" ht="15" customHeight="1">
      <c r="A47" s="106"/>
      <c r="B47" s="76"/>
      <c r="C47" s="76"/>
      <c r="D47" s="76"/>
      <c r="E47" s="76"/>
      <c r="F47" s="76"/>
      <c r="G47" s="76"/>
      <c r="H47" s="76"/>
      <c r="I47" s="76"/>
      <c r="J47" s="76"/>
      <c r="K47" s="76"/>
      <c r="L47" s="76"/>
      <c r="M47" s="76"/>
      <c r="N47" s="76"/>
      <c r="O47" s="76"/>
      <c r="P47" s="160"/>
      <c r="Q47" s="76"/>
      <c r="R47" s="76"/>
      <c r="S47" s="76"/>
      <c r="T47" s="76"/>
      <c r="U47" s="74"/>
      <c r="V47" s="74"/>
      <c r="W47" s="74"/>
      <c r="X47" s="74"/>
      <c r="Y47" s="74"/>
      <c r="Z47" s="74"/>
      <c r="AA47" s="100"/>
      <c r="AB47" s="161"/>
      <c r="AC47" s="69"/>
      <c r="AD47" s="79"/>
      <c r="AE47" s="79"/>
      <c r="AF47" s="118"/>
    </row>
    <row r="48" spans="1:32" ht="15" customHeight="1">
      <c r="A48" s="106"/>
      <c r="B48" s="76"/>
      <c r="C48" s="76"/>
      <c r="D48" s="76"/>
      <c r="E48" s="76"/>
      <c r="F48" s="76"/>
      <c r="G48" s="76"/>
      <c r="H48" s="76"/>
      <c r="I48" s="76"/>
      <c r="J48" s="76"/>
      <c r="K48" s="76"/>
      <c r="L48" s="76"/>
      <c r="M48" s="76"/>
      <c r="N48" s="76"/>
      <c r="O48" s="76"/>
      <c r="P48" s="160"/>
      <c r="Q48" s="76"/>
      <c r="R48" s="76"/>
      <c r="S48" s="76"/>
      <c r="T48" s="76"/>
      <c r="U48" s="74"/>
      <c r="V48" s="74"/>
      <c r="W48" s="74"/>
      <c r="X48" s="74"/>
      <c r="Y48" s="74"/>
      <c r="Z48" s="74"/>
      <c r="AA48" s="100"/>
      <c r="AB48" s="161"/>
      <c r="AC48" s="69"/>
      <c r="AD48" s="69"/>
      <c r="AE48" s="69"/>
      <c r="AF48" s="118"/>
    </row>
    <row r="49" spans="1:32" ht="15" customHeight="1">
      <c r="A49" s="106"/>
      <c r="B49" s="76"/>
      <c r="C49" s="76"/>
      <c r="D49" s="76"/>
      <c r="E49" s="76"/>
      <c r="F49" s="76"/>
      <c r="G49" s="76"/>
      <c r="H49" s="76"/>
      <c r="I49" s="76"/>
      <c r="J49" s="76"/>
      <c r="K49" s="76"/>
      <c r="L49" s="76"/>
      <c r="M49" s="76"/>
      <c r="N49" s="76"/>
      <c r="O49" s="76"/>
      <c r="P49" s="160"/>
      <c r="Q49" s="76"/>
      <c r="R49" s="76"/>
      <c r="S49" s="76"/>
      <c r="T49" s="76"/>
      <c r="U49" s="74"/>
      <c r="V49" s="74"/>
      <c r="W49" s="74"/>
      <c r="X49" s="74"/>
      <c r="Y49" s="74"/>
      <c r="Z49" s="74"/>
      <c r="AA49" s="100"/>
      <c r="AB49" s="161"/>
      <c r="AC49" s="69"/>
      <c r="AD49" s="74"/>
      <c r="AE49" s="74"/>
      <c r="AF49" s="118"/>
    </row>
    <row r="50" spans="1:32" ht="15" customHeight="1">
      <c r="A50" s="106"/>
      <c r="B50" s="76"/>
      <c r="C50" s="76"/>
      <c r="D50" s="76"/>
      <c r="E50" s="76"/>
      <c r="F50" s="76"/>
      <c r="G50" s="76"/>
      <c r="H50" s="76"/>
      <c r="I50" s="76"/>
      <c r="J50" s="76"/>
      <c r="K50" s="76"/>
      <c r="L50" s="76"/>
      <c r="M50" s="76"/>
      <c r="N50" s="76"/>
      <c r="O50" s="76"/>
      <c r="P50" s="160"/>
      <c r="Q50" s="76"/>
      <c r="R50" s="76"/>
      <c r="S50" s="76"/>
      <c r="T50" s="76"/>
      <c r="U50" s="74"/>
      <c r="V50" s="74"/>
      <c r="W50" s="74"/>
      <c r="X50" s="74"/>
      <c r="Y50" s="74"/>
      <c r="Z50" s="74"/>
      <c r="AA50" s="100"/>
      <c r="AB50" s="161"/>
      <c r="AC50" s="69"/>
      <c r="AD50" s="79"/>
      <c r="AE50" s="79"/>
      <c r="AF50" s="118"/>
    </row>
    <row r="51" spans="1:32" ht="15" customHeight="1">
      <c r="A51" s="106"/>
      <c r="B51" s="76"/>
      <c r="C51" s="76"/>
      <c r="D51" s="76"/>
      <c r="E51" s="76"/>
      <c r="F51" s="76"/>
      <c r="G51" s="76"/>
      <c r="H51" s="76"/>
      <c r="I51" s="76"/>
      <c r="J51" s="76"/>
      <c r="K51" s="76"/>
      <c r="L51" s="76"/>
      <c r="M51" s="76"/>
      <c r="N51" s="76"/>
      <c r="O51" s="76"/>
      <c r="P51" s="160"/>
      <c r="Q51" s="76"/>
      <c r="R51" s="76"/>
      <c r="S51" s="76"/>
      <c r="T51" s="76"/>
      <c r="U51" s="74"/>
      <c r="V51" s="74"/>
      <c r="W51" s="74"/>
      <c r="X51" s="74"/>
      <c r="Y51" s="74"/>
      <c r="Z51" s="74"/>
      <c r="AA51" s="100"/>
      <c r="AB51" s="161"/>
      <c r="AC51" s="69"/>
      <c r="AD51" s="79"/>
      <c r="AE51" s="79"/>
      <c r="AF51" s="118"/>
    </row>
    <row r="52" spans="1:32" ht="15" customHeight="1">
      <c r="A52" s="106"/>
      <c r="B52" s="76"/>
      <c r="C52" s="76"/>
      <c r="D52" s="76"/>
      <c r="E52" s="76"/>
      <c r="F52" s="76"/>
      <c r="G52" s="76"/>
      <c r="H52" s="76"/>
      <c r="I52" s="76"/>
      <c r="J52" s="76"/>
      <c r="K52" s="76"/>
      <c r="L52" s="76"/>
      <c r="M52" s="76"/>
      <c r="N52" s="76"/>
      <c r="O52" s="76"/>
      <c r="P52" s="160"/>
      <c r="Q52" s="76"/>
      <c r="R52" s="76"/>
      <c r="S52" s="76"/>
      <c r="T52" s="76"/>
      <c r="U52" s="74"/>
      <c r="V52" s="74"/>
      <c r="W52" s="74"/>
      <c r="X52" s="74"/>
      <c r="Y52" s="74"/>
      <c r="Z52" s="74"/>
      <c r="AA52" s="100"/>
      <c r="AB52" s="161"/>
      <c r="AC52" s="69"/>
      <c r="AD52" s="69"/>
      <c r="AE52" s="69"/>
      <c r="AF52" s="118"/>
    </row>
    <row r="53" spans="1:32" ht="15" customHeight="1">
      <c r="A53" s="106"/>
      <c r="B53" s="76"/>
      <c r="C53" s="76"/>
      <c r="D53" s="76"/>
      <c r="E53" s="76"/>
      <c r="F53" s="76"/>
      <c r="G53" s="76"/>
      <c r="H53" s="76"/>
      <c r="I53" s="76"/>
      <c r="J53" s="76"/>
      <c r="K53" s="76"/>
      <c r="L53" s="76"/>
      <c r="M53" s="76"/>
      <c r="N53" s="76"/>
      <c r="O53" s="76"/>
      <c r="P53" s="160"/>
      <c r="Q53" s="76"/>
      <c r="R53" s="76"/>
      <c r="S53" s="76"/>
      <c r="T53" s="76"/>
      <c r="U53" s="74"/>
      <c r="V53" s="74"/>
      <c r="W53" s="74"/>
      <c r="X53" s="74"/>
      <c r="Y53" s="74"/>
      <c r="Z53" s="74"/>
      <c r="AA53" s="100"/>
      <c r="AB53" s="161"/>
      <c r="AC53" s="69"/>
      <c r="AD53" s="79"/>
      <c r="AE53" s="79"/>
      <c r="AF53" s="118"/>
    </row>
    <row r="54" spans="1:32" ht="15" customHeight="1">
      <c r="A54" s="106"/>
      <c r="B54" s="76"/>
      <c r="C54" s="76"/>
      <c r="D54" s="76"/>
      <c r="E54" s="76"/>
      <c r="F54" s="76"/>
      <c r="G54" s="76"/>
      <c r="H54" s="76"/>
      <c r="I54" s="76"/>
      <c r="J54" s="76"/>
      <c r="K54" s="76"/>
      <c r="L54" s="76"/>
      <c r="M54" s="76"/>
      <c r="N54" s="76"/>
      <c r="O54" s="76"/>
      <c r="P54" s="160"/>
      <c r="Q54" s="76"/>
      <c r="R54" s="76"/>
      <c r="S54" s="76"/>
      <c r="T54" s="76"/>
      <c r="U54" s="74"/>
      <c r="V54" s="74"/>
      <c r="W54" s="74"/>
      <c r="X54" s="74"/>
      <c r="Y54" s="74"/>
      <c r="Z54" s="74"/>
      <c r="AA54" s="100"/>
      <c r="AB54" s="161"/>
      <c r="AC54" s="69"/>
      <c r="AD54" s="69"/>
      <c r="AE54" s="69"/>
      <c r="AF54" s="118"/>
    </row>
    <row r="55" spans="1:32" ht="15" customHeight="1">
      <c r="A55" s="106"/>
      <c r="B55" s="76"/>
      <c r="C55" s="76"/>
      <c r="D55" s="76"/>
      <c r="E55" s="76"/>
      <c r="F55" s="76"/>
      <c r="G55" s="76"/>
      <c r="H55" s="76"/>
      <c r="I55" s="76"/>
      <c r="J55" s="76"/>
      <c r="K55" s="76"/>
      <c r="L55" s="76"/>
      <c r="M55" s="76"/>
      <c r="N55" s="76"/>
      <c r="O55" s="76"/>
      <c r="P55" s="160"/>
      <c r="Q55" s="76"/>
      <c r="R55" s="76"/>
      <c r="S55" s="76"/>
      <c r="T55" s="76"/>
      <c r="U55" s="74"/>
      <c r="V55" s="74"/>
      <c r="W55" s="74"/>
      <c r="X55" s="74"/>
      <c r="Y55" s="74"/>
      <c r="Z55" s="74"/>
      <c r="AA55" s="100"/>
      <c r="AB55" s="161"/>
      <c r="AC55" s="69"/>
      <c r="AD55" s="74"/>
      <c r="AE55" s="74"/>
      <c r="AF55" s="118"/>
    </row>
    <row r="56" spans="1:32" ht="15" customHeight="1">
      <c r="A56" s="106"/>
      <c r="B56" s="76"/>
      <c r="C56" s="76"/>
      <c r="D56" s="76"/>
      <c r="E56" s="76"/>
      <c r="F56" s="76"/>
      <c r="G56" s="76"/>
      <c r="H56" s="76"/>
      <c r="I56" s="76"/>
      <c r="J56" s="76"/>
      <c r="K56" s="76"/>
      <c r="L56" s="76"/>
      <c r="M56" s="76"/>
      <c r="N56" s="76"/>
      <c r="O56" s="76"/>
      <c r="P56" s="160"/>
      <c r="Q56" s="76"/>
      <c r="R56" s="76"/>
      <c r="S56" s="76"/>
      <c r="T56" s="76"/>
      <c r="U56" s="74"/>
      <c r="V56" s="74"/>
      <c r="W56" s="74"/>
      <c r="X56" s="74"/>
      <c r="Y56" s="74"/>
      <c r="Z56" s="74"/>
      <c r="AA56" s="100"/>
      <c r="AB56" s="161"/>
      <c r="AC56" s="69"/>
      <c r="AD56" s="79"/>
      <c r="AE56" s="79"/>
      <c r="AF56" s="118"/>
    </row>
    <row r="57" spans="1:32" ht="15" customHeight="1">
      <c r="A57" s="106"/>
      <c r="B57" s="76"/>
      <c r="C57" s="76"/>
      <c r="D57" s="76"/>
      <c r="E57" s="76"/>
      <c r="F57" s="76"/>
      <c r="G57" s="76"/>
      <c r="H57" s="76"/>
      <c r="I57" s="76"/>
      <c r="J57" s="76"/>
      <c r="K57" s="76"/>
      <c r="L57" s="76"/>
      <c r="M57" s="76"/>
      <c r="N57" s="76"/>
      <c r="O57" s="76"/>
      <c r="P57" s="160"/>
      <c r="Q57" s="76"/>
      <c r="R57" s="76"/>
      <c r="S57" s="76"/>
      <c r="T57" s="76"/>
      <c r="U57" s="74"/>
      <c r="V57" s="74"/>
      <c r="W57" s="74"/>
      <c r="X57" s="74"/>
      <c r="Y57" s="74"/>
      <c r="Z57" s="74"/>
      <c r="AA57" s="100"/>
      <c r="AB57" s="161"/>
      <c r="AC57" s="69"/>
      <c r="AD57" s="79"/>
      <c r="AE57" s="79"/>
      <c r="AF57" s="118"/>
    </row>
    <row r="58" spans="1:32" ht="15" customHeight="1">
      <c r="A58" s="106"/>
      <c r="B58" s="76"/>
      <c r="C58" s="76"/>
      <c r="D58" s="76"/>
      <c r="E58" s="76"/>
      <c r="F58" s="76"/>
      <c r="G58" s="76"/>
      <c r="H58" s="76"/>
      <c r="I58" s="76"/>
      <c r="J58" s="76"/>
      <c r="K58" s="76"/>
      <c r="L58" s="76"/>
      <c r="M58" s="76"/>
      <c r="N58" s="76"/>
      <c r="O58" s="76"/>
      <c r="P58" s="160"/>
      <c r="Q58" s="76"/>
      <c r="R58" s="76"/>
      <c r="S58" s="76"/>
      <c r="T58" s="76"/>
      <c r="U58" s="74"/>
      <c r="V58" s="74"/>
      <c r="W58" s="74"/>
      <c r="X58" s="74"/>
      <c r="Y58" s="74"/>
      <c r="Z58" s="74"/>
      <c r="AA58" s="100"/>
      <c r="AB58" s="161"/>
      <c r="AC58" s="69"/>
      <c r="AD58" s="69"/>
      <c r="AE58" s="69"/>
      <c r="AF58" s="118"/>
    </row>
    <row r="59" spans="1:32" ht="15" customHeight="1">
      <c r="A59" s="106"/>
      <c r="B59" s="76"/>
      <c r="C59" s="76"/>
      <c r="D59" s="76"/>
      <c r="E59" s="76"/>
      <c r="F59" s="76"/>
      <c r="G59" s="76"/>
      <c r="H59" s="76"/>
      <c r="I59" s="76"/>
      <c r="J59" s="76"/>
      <c r="K59" s="76"/>
      <c r="L59" s="76"/>
      <c r="M59" s="76"/>
      <c r="N59" s="76"/>
      <c r="O59" s="76"/>
      <c r="P59" s="160"/>
      <c r="Q59" s="76"/>
      <c r="R59" s="76"/>
      <c r="S59" s="76"/>
      <c r="T59" s="76"/>
      <c r="U59" s="74"/>
      <c r="V59" s="74"/>
      <c r="W59" s="74"/>
      <c r="X59" s="74"/>
      <c r="Y59" s="74"/>
      <c r="Z59" s="74"/>
      <c r="AA59" s="100"/>
      <c r="AB59" s="161"/>
      <c r="AC59" s="69"/>
      <c r="AD59" s="74"/>
      <c r="AE59" s="74"/>
      <c r="AF59" s="118"/>
    </row>
    <row r="60" spans="1:32" ht="15" customHeight="1">
      <c r="A60" s="106"/>
      <c r="B60" s="76"/>
      <c r="C60" s="76"/>
      <c r="D60" s="76"/>
      <c r="E60" s="76"/>
      <c r="F60" s="76"/>
      <c r="G60" s="76"/>
      <c r="H60" s="76"/>
      <c r="I60" s="76"/>
      <c r="J60" s="76"/>
      <c r="K60" s="76"/>
      <c r="L60" s="76"/>
      <c r="M60" s="76"/>
      <c r="N60" s="76"/>
      <c r="O60" s="76"/>
      <c r="P60" s="160"/>
      <c r="Q60" s="76"/>
      <c r="R60" s="76"/>
      <c r="S60" s="76"/>
      <c r="T60" s="76"/>
      <c r="U60" s="74"/>
      <c r="V60" s="74"/>
      <c r="W60" s="74"/>
      <c r="X60" s="74"/>
      <c r="Y60" s="74"/>
      <c r="Z60" s="74"/>
      <c r="AA60" s="100"/>
      <c r="AB60" s="161"/>
      <c r="AC60" s="69"/>
      <c r="AD60" s="79"/>
      <c r="AE60" s="79"/>
      <c r="AF60" s="118"/>
    </row>
    <row r="61" spans="1:32" ht="15" customHeight="1">
      <c r="A61" s="106"/>
      <c r="B61" s="76"/>
      <c r="C61" s="76"/>
      <c r="D61" s="76"/>
      <c r="E61" s="76"/>
      <c r="F61" s="76"/>
      <c r="G61" s="76"/>
      <c r="H61" s="76"/>
      <c r="I61" s="76"/>
      <c r="J61" s="76"/>
      <c r="K61" s="76"/>
      <c r="L61" s="76"/>
      <c r="M61" s="76"/>
      <c r="N61" s="76"/>
      <c r="O61" s="76"/>
      <c r="P61" s="160"/>
      <c r="Q61" s="76"/>
      <c r="R61" s="76"/>
      <c r="S61" s="76"/>
      <c r="T61" s="76"/>
      <c r="U61" s="74"/>
      <c r="V61" s="74"/>
      <c r="W61" s="74"/>
      <c r="X61" s="74"/>
      <c r="Y61" s="74"/>
      <c r="Z61" s="74"/>
      <c r="AA61" s="100"/>
      <c r="AB61" s="161"/>
      <c r="AC61" s="69"/>
      <c r="AD61" s="69"/>
      <c r="AE61" s="69"/>
      <c r="AF61" s="118"/>
    </row>
    <row r="62" spans="1:32" ht="15" customHeight="1">
      <c r="A62" s="106"/>
      <c r="B62" s="76"/>
      <c r="C62" s="76"/>
      <c r="D62" s="76"/>
      <c r="E62" s="76"/>
      <c r="F62" s="76"/>
      <c r="G62" s="76"/>
      <c r="H62" s="76"/>
      <c r="I62" s="76"/>
      <c r="J62" s="76"/>
      <c r="K62" s="76"/>
      <c r="L62" s="76"/>
      <c r="M62" s="76"/>
      <c r="N62" s="76"/>
      <c r="O62" s="76"/>
      <c r="P62" s="160"/>
      <c r="Q62" s="76"/>
      <c r="R62" s="76"/>
      <c r="S62" s="76"/>
      <c r="T62" s="76"/>
      <c r="U62" s="74"/>
      <c r="V62" s="74"/>
      <c r="W62" s="74"/>
      <c r="X62" s="74"/>
      <c r="Y62" s="74"/>
      <c r="Z62" s="74"/>
      <c r="AA62" s="100"/>
      <c r="AB62" s="161"/>
      <c r="AC62" s="69"/>
      <c r="AD62" s="74"/>
      <c r="AE62" s="74"/>
      <c r="AF62" s="118"/>
    </row>
    <row r="63" spans="1:32" ht="15" customHeight="1">
      <c r="A63" s="106"/>
      <c r="B63" s="76"/>
      <c r="C63" s="76"/>
      <c r="D63" s="76"/>
      <c r="E63" s="76"/>
      <c r="F63" s="76"/>
      <c r="G63" s="76"/>
      <c r="H63" s="76"/>
      <c r="I63" s="76"/>
      <c r="J63" s="76"/>
      <c r="K63" s="76"/>
      <c r="L63" s="76"/>
      <c r="M63" s="76"/>
      <c r="N63" s="76"/>
      <c r="O63" s="76"/>
      <c r="P63" s="160"/>
      <c r="Q63" s="76"/>
      <c r="R63" s="76"/>
      <c r="S63" s="76"/>
      <c r="T63" s="76"/>
      <c r="U63" s="74"/>
      <c r="V63" s="74"/>
      <c r="W63" s="74"/>
      <c r="X63" s="74"/>
      <c r="Y63" s="74"/>
      <c r="Z63" s="74"/>
      <c r="AA63" s="100"/>
      <c r="AB63" s="161"/>
      <c r="AC63" s="69"/>
      <c r="AD63" s="79"/>
      <c r="AE63" s="79"/>
      <c r="AF63" s="118"/>
    </row>
    <row r="64" spans="1:32" ht="15" customHeight="1">
      <c r="A64" s="106"/>
      <c r="B64" s="76"/>
      <c r="C64" s="76"/>
      <c r="D64" s="76"/>
      <c r="E64" s="76"/>
      <c r="F64" s="76"/>
      <c r="G64" s="76"/>
      <c r="H64" s="76"/>
      <c r="I64" s="76"/>
      <c r="J64" s="76"/>
      <c r="K64" s="76"/>
      <c r="L64" s="76"/>
      <c r="M64" s="76"/>
      <c r="N64" s="76"/>
      <c r="O64" s="76"/>
      <c r="P64" s="160"/>
      <c r="Q64" s="76"/>
      <c r="R64" s="76"/>
      <c r="S64" s="76"/>
      <c r="T64" s="76"/>
      <c r="U64" s="74"/>
      <c r="V64" s="74"/>
      <c r="W64" s="74"/>
      <c r="X64" s="74"/>
      <c r="Y64" s="74"/>
      <c r="Z64" s="74"/>
      <c r="AA64" s="100"/>
      <c r="AB64" s="161"/>
      <c r="AC64" s="69"/>
      <c r="AD64" s="69"/>
      <c r="AE64" s="69"/>
      <c r="AF64" s="118"/>
    </row>
    <row r="65" spans="1:32" ht="15" customHeight="1">
      <c r="A65" s="172"/>
      <c r="B65" s="173"/>
      <c r="C65" s="173"/>
      <c r="D65" s="173"/>
      <c r="E65" s="173"/>
      <c r="F65" s="173"/>
      <c r="G65" s="173"/>
      <c r="H65" s="173"/>
      <c r="I65" s="173"/>
      <c r="J65" s="173"/>
      <c r="K65" s="173"/>
      <c r="L65" s="173"/>
      <c r="M65" s="173"/>
      <c r="N65" s="173"/>
      <c r="O65" s="173"/>
      <c r="P65" s="174"/>
      <c r="Q65" s="76"/>
      <c r="R65" s="76"/>
      <c r="S65" s="76"/>
      <c r="T65" s="76"/>
      <c r="U65" s="74"/>
      <c r="V65" s="74"/>
      <c r="W65" s="74"/>
      <c r="X65" s="74"/>
      <c r="Y65" s="74"/>
      <c r="Z65" s="74"/>
      <c r="AA65" s="100"/>
      <c r="AB65" s="161"/>
      <c r="AC65" s="69"/>
      <c r="AD65" s="79"/>
      <c r="AE65" s="79"/>
      <c r="AF65" s="118"/>
    </row>
    <row r="66" spans="1:32" ht="15" customHeight="1">
      <c r="A66" s="175"/>
      <c r="B66" s="176"/>
      <c r="C66" s="176"/>
      <c r="D66" s="176"/>
      <c r="E66" s="176"/>
      <c r="F66" s="176"/>
      <c r="G66" s="176"/>
      <c r="H66" s="176"/>
      <c r="I66" s="176"/>
      <c r="J66" s="176"/>
      <c r="K66" s="176"/>
      <c r="L66" s="176"/>
      <c r="M66" s="176"/>
      <c r="N66" s="176"/>
      <c r="O66" s="98"/>
      <c r="P66" s="98"/>
      <c r="Q66" s="74"/>
      <c r="R66" s="74"/>
      <c r="S66" s="74"/>
      <c r="T66" s="74"/>
      <c r="U66" s="74"/>
      <c r="V66" s="74"/>
      <c r="W66" s="74"/>
      <c r="X66" s="74"/>
      <c r="Y66" s="74"/>
      <c r="Z66" s="74"/>
      <c r="AA66" s="100"/>
      <c r="AB66" s="161"/>
      <c r="AC66" s="69"/>
      <c r="AD66" s="69"/>
      <c r="AE66" s="69"/>
      <c r="AF66" s="118"/>
    </row>
    <row r="67" spans="1:32" ht="15" customHeight="1">
      <c r="A67" s="74"/>
      <c r="B67" s="105"/>
      <c r="C67" s="64"/>
      <c r="D67" s="64"/>
      <c r="E67" s="64"/>
      <c r="F67" s="64"/>
      <c r="G67" s="64"/>
      <c r="H67" s="64"/>
      <c r="I67" s="64"/>
      <c r="J67" s="64"/>
      <c r="K67" s="64"/>
      <c r="L67" s="64"/>
      <c r="M67" s="64"/>
      <c r="N67" s="64"/>
      <c r="O67" s="74"/>
      <c r="P67" s="74"/>
      <c r="Q67" s="74"/>
      <c r="R67" s="74"/>
      <c r="S67" s="74"/>
      <c r="T67" s="74"/>
      <c r="U67" s="74"/>
      <c r="V67" s="74"/>
      <c r="W67" s="74"/>
      <c r="X67" s="74"/>
      <c r="Y67" s="74"/>
      <c r="Z67" s="74"/>
      <c r="AA67" s="100"/>
      <c r="AB67" s="161"/>
      <c r="AC67" s="69"/>
      <c r="AD67" s="74"/>
      <c r="AE67" s="74"/>
      <c r="AF67" s="118"/>
    </row>
    <row r="68" spans="1:32" ht="15" customHeight="1">
      <c r="A68" s="79"/>
      <c r="B68" s="108"/>
      <c r="C68" s="74"/>
      <c r="D68" s="102"/>
      <c r="E68" s="102"/>
      <c r="F68" s="102"/>
      <c r="G68" s="102"/>
      <c r="H68" s="102"/>
      <c r="I68" s="102"/>
      <c r="J68" s="102"/>
      <c r="K68" s="102"/>
      <c r="L68" s="102"/>
      <c r="M68" s="102"/>
      <c r="N68" s="102"/>
      <c r="O68" s="74"/>
      <c r="P68" s="74"/>
      <c r="Q68" s="74"/>
      <c r="R68" s="74"/>
      <c r="S68" s="74"/>
      <c r="T68" s="74"/>
      <c r="U68" s="74"/>
      <c r="V68" s="74"/>
      <c r="W68" s="74"/>
      <c r="X68" s="74"/>
      <c r="Y68" s="74"/>
      <c r="Z68" s="74"/>
      <c r="AA68" s="100"/>
      <c r="AB68" s="161"/>
      <c r="AC68" s="69"/>
      <c r="AD68" s="79"/>
      <c r="AE68" s="79"/>
      <c r="AF68" s="118"/>
    </row>
    <row r="69" spans="1:32" ht="15" customHeight="1">
      <c r="A69" s="76"/>
      <c r="B69" s="64"/>
      <c r="C69" s="64"/>
      <c r="D69" s="64"/>
      <c r="E69" s="64"/>
      <c r="F69" s="64"/>
      <c r="G69" s="64"/>
      <c r="H69" s="64"/>
      <c r="I69" s="64"/>
      <c r="J69" s="64"/>
      <c r="K69" s="64"/>
      <c r="L69" s="64"/>
      <c r="M69" s="64"/>
      <c r="N69" s="64"/>
      <c r="O69" s="74"/>
      <c r="P69" s="74"/>
      <c r="Q69" s="74"/>
      <c r="R69" s="74"/>
      <c r="S69" s="74"/>
      <c r="T69" s="74"/>
      <c r="U69" s="74"/>
      <c r="V69" s="74"/>
      <c r="W69" s="74"/>
      <c r="X69" s="74"/>
      <c r="Y69" s="74"/>
      <c r="Z69" s="74"/>
      <c r="AA69" s="100"/>
      <c r="AB69" s="161"/>
      <c r="AC69" s="69"/>
      <c r="AD69" s="69"/>
      <c r="AE69" s="69"/>
      <c r="AF69" s="118"/>
    </row>
    <row r="70" spans="1:32" ht="15" customHeight="1">
      <c r="A70" s="74"/>
      <c r="B70" s="105"/>
      <c r="C70" s="64"/>
      <c r="D70" s="64"/>
      <c r="E70" s="64"/>
      <c r="F70" s="64"/>
      <c r="G70" s="64"/>
      <c r="H70" s="64"/>
      <c r="I70" s="64"/>
      <c r="J70" s="64"/>
      <c r="K70" s="64"/>
      <c r="L70" s="64"/>
      <c r="M70" s="64"/>
      <c r="N70" s="64"/>
      <c r="O70" s="74"/>
      <c r="P70" s="74"/>
      <c r="Q70" s="74"/>
      <c r="R70" s="74"/>
      <c r="S70" s="74"/>
      <c r="T70" s="74"/>
      <c r="U70" s="74"/>
      <c r="V70" s="74"/>
      <c r="W70" s="74"/>
      <c r="X70" s="74"/>
      <c r="Y70" s="74"/>
      <c r="Z70" s="74"/>
      <c r="AA70" s="100"/>
      <c r="AB70" s="161"/>
      <c r="AC70" s="69"/>
      <c r="AD70" s="74"/>
      <c r="AE70" s="74"/>
      <c r="AF70" s="118"/>
    </row>
    <row r="71" spans="1:32" ht="15" customHeight="1">
      <c r="A71" s="79"/>
      <c r="B71" s="108"/>
      <c r="C71" s="74"/>
      <c r="D71" s="102"/>
      <c r="E71" s="102"/>
      <c r="F71" s="102"/>
      <c r="G71" s="102"/>
      <c r="H71" s="102"/>
      <c r="I71" s="102"/>
      <c r="J71" s="102"/>
      <c r="K71" s="102"/>
      <c r="L71" s="102"/>
      <c r="M71" s="102"/>
      <c r="N71" s="102"/>
      <c r="O71" s="74"/>
      <c r="P71" s="74"/>
      <c r="Q71" s="74"/>
      <c r="R71" s="74"/>
      <c r="S71" s="74"/>
      <c r="T71" s="74"/>
      <c r="U71" s="74"/>
      <c r="V71" s="74"/>
      <c r="W71" s="74"/>
      <c r="X71" s="74"/>
      <c r="Y71" s="74"/>
      <c r="Z71" s="74"/>
      <c r="AA71" s="100"/>
      <c r="AB71" s="161"/>
      <c r="AC71" s="69"/>
      <c r="AD71" s="79"/>
      <c r="AE71" s="79"/>
      <c r="AF71" s="118"/>
    </row>
    <row r="72" spans="1:32" ht="15" customHeight="1">
      <c r="A72" s="76"/>
      <c r="B72" s="64"/>
      <c r="C72" s="64"/>
      <c r="D72" s="64"/>
      <c r="E72" s="64"/>
      <c r="F72" s="64"/>
      <c r="G72" s="64"/>
      <c r="H72" s="64"/>
      <c r="I72" s="64"/>
      <c r="J72" s="64"/>
      <c r="K72" s="64"/>
      <c r="L72" s="64"/>
      <c r="M72" s="64"/>
      <c r="N72" s="64"/>
      <c r="O72" s="74"/>
      <c r="P72" s="74"/>
      <c r="Q72" s="74"/>
      <c r="R72" s="74"/>
      <c r="S72" s="74"/>
      <c r="T72" s="74"/>
      <c r="U72" s="74"/>
      <c r="V72" s="74"/>
      <c r="W72" s="74"/>
      <c r="X72" s="74"/>
      <c r="Y72" s="74"/>
      <c r="Z72" s="74"/>
      <c r="AA72" s="100"/>
      <c r="AB72" s="161"/>
      <c r="AC72" s="69"/>
      <c r="AD72" s="69"/>
      <c r="AE72" s="69"/>
      <c r="AF72" s="118"/>
    </row>
    <row r="73" spans="1:32" ht="15" customHeight="1">
      <c r="A73" s="74"/>
      <c r="B73" s="105"/>
      <c r="C73" s="64"/>
      <c r="D73" s="64"/>
      <c r="E73" s="64"/>
      <c r="F73" s="64"/>
      <c r="G73" s="64"/>
      <c r="H73" s="64"/>
      <c r="I73" s="64"/>
      <c r="J73" s="64"/>
      <c r="K73" s="64"/>
      <c r="L73" s="64"/>
      <c r="M73" s="64"/>
      <c r="N73" s="64"/>
      <c r="O73" s="74"/>
      <c r="P73" s="74"/>
      <c r="Q73" s="74"/>
      <c r="R73" s="74"/>
      <c r="S73" s="74"/>
      <c r="T73" s="74"/>
      <c r="U73" s="74"/>
      <c r="V73" s="74"/>
      <c r="W73" s="74"/>
      <c r="X73" s="74"/>
      <c r="Y73" s="74"/>
      <c r="Z73" s="74"/>
      <c r="AA73" s="100"/>
      <c r="AB73" s="161"/>
      <c r="AC73" s="69"/>
      <c r="AD73" s="74"/>
      <c r="AE73" s="74"/>
      <c r="AF73" s="118"/>
    </row>
    <row r="74" spans="1:32" ht="15" customHeight="1">
      <c r="A74" s="79"/>
      <c r="B74" s="108"/>
      <c r="C74" s="74"/>
      <c r="D74" s="102"/>
      <c r="E74" s="102"/>
      <c r="F74" s="102"/>
      <c r="G74" s="102"/>
      <c r="H74" s="102"/>
      <c r="I74" s="102"/>
      <c r="J74" s="102"/>
      <c r="K74" s="102"/>
      <c r="L74" s="102"/>
      <c r="M74" s="102"/>
      <c r="N74" s="102"/>
      <c r="O74" s="74"/>
      <c r="P74" s="74"/>
      <c r="Q74" s="74"/>
      <c r="R74" s="74"/>
      <c r="S74" s="74"/>
      <c r="T74" s="74"/>
      <c r="U74" s="74"/>
      <c r="V74" s="74"/>
      <c r="W74" s="74"/>
      <c r="X74" s="74"/>
      <c r="Y74" s="74"/>
      <c r="Z74" s="74"/>
      <c r="AA74" s="100"/>
      <c r="AB74" s="161"/>
      <c r="AC74" s="69"/>
      <c r="AD74" s="79"/>
      <c r="AE74" s="79"/>
      <c r="AF74" s="118"/>
    </row>
    <row r="75" spans="1:32" ht="15" customHeight="1">
      <c r="A75" s="76"/>
      <c r="B75" s="64"/>
      <c r="C75" s="64"/>
      <c r="D75" s="64"/>
      <c r="E75" s="64"/>
      <c r="F75" s="64"/>
      <c r="G75" s="64"/>
      <c r="H75" s="64"/>
      <c r="I75" s="64"/>
      <c r="J75" s="64"/>
      <c r="K75" s="64"/>
      <c r="L75" s="64"/>
      <c r="M75" s="64"/>
      <c r="N75" s="64"/>
      <c r="O75" s="74"/>
      <c r="P75" s="74"/>
      <c r="Q75" s="74"/>
      <c r="R75" s="74"/>
      <c r="S75" s="74"/>
      <c r="T75" s="74"/>
      <c r="U75" s="74"/>
      <c r="V75" s="74"/>
      <c r="W75" s="74"/>
      <c r="X75" s="74"/>
      <c r="Y75" s="74"/>
      <c r="Z75" s="74"/>
      <c r="AA75" s="100"/>
      <c r="AB75" s="161"/>
      <c r="AC75" s="69"/>
      <c r="AD75" s="69"/>
      <c r="AE75" s="69"/>
      <c r="AF75" s="118"/>
    </row>
    <row r="76" spans="1:32" ht="15" customHeight="1">
      <c r="A76" s="74"/>
      <c r="B76" s="105"/>
      <c r="C76" s="64"/>
      <c r="D76" s="64"/>
      <c r="E76" s="64"/>
      <c r="F76" s="64"/>
      <c r="G76" s="64"/>
      <c r="H76" s="64"/>
      <c r="I76" s="64"/>
      <c r="J76" s="64"/>
      <c r="K76" s="64"/>
      <c r="L76" s="64"/>
      <c r="M76" s="64"/>
      <c r="N76" s="64"/>
      <c r="O76" s="74"/>
      <c r="P76" s="74"/>
      <c r="Q76" s="74"/>
      <c r="R76" s="74"/>
      <c r="S76" s="74"/>
      <c r="T76" s="74"/>
      <c r="U76" s="74"/>
      <c r="V76" s="74"/>
      <c r="W76" s="74"/>
      <c r="X76" s="74"/>
      <c r="Y76" s="74"/>
      <c r="Z76" s="74"/>
      <c r="AA76" s="100"/>
      <c r="AB76" s="161"/>
      <c r="AC76" s="69"/>
      <c r="AD76" s="74"/>
      <c r="AE76" s="74"/>
      <c r="AF76" s="118"/>
    </row>
    <row r="77" spans="1:32" ht="15" customHeight="1">
      <c r="A77" s="79"/>
      <c r="B77" s="108"/>
      <c r="C77" s="74"/>
      <c r="D77" s="102"/>
      <c r="E77" s="102"/>
      <c r="F77" s="102"/>
      <c r="G77" s="102"/>
      <c r="H77" s="102"/>
      <c r="I77" s="102"/>
      <c r="J77" s="102"/>
      <c r="K77" s="102"/>
      <c r="L77" s="102"/>
      <c r="M77" s="102"/>
      <c r="N77" s="102"/>
      <c r="O77" s="74"/>
      <c r="P77" s="74"/>
      <c r="Q77" s="74"/>
      <c r="R77" s="74"/>
      <c r="S77" s="74"/>
      <c r="T77" s="74"/>
      <c r="U77" s="74"/>
      <c r="V77" s="74"/>
      <c r="W77" s="74"/>
      <c r="X77" s="74"/>
      <c r="Y77" s="74"/>
      <c r="Z77" s="74"/>
      <c r="AA77" s="100"/>
      <c r="AB77" s="161"/>
      <c r="AC77" s="69"/>
      <c r="AD77" s="79"/>
      <c r="AE77" s="79"/>
      <c r="AF77" s="118"/>
    </row>
    <row r="78" spans="1:32" ht="20.25" customHeight="1">
      <c r="A78" s="82"/>
      <c r="B78" s="74"/>
      <c r="C78" s="74"/>
      <c r="D78" s="74"/>
      <c r="E78" s="74"/>
      <c r="F78" s="74"/>
      <c r="G78" s="74"/>
      <c r="H78" s="74"/>
      <c r="I78" s="74"/>
      <c r="J78" s="74"/>
      <c r="K78" s="74"/>
      <c r="L78" s="74"/>
      <c r="M78" s="74"/>
      <c r="N78" s="74"/>
      <c r="O78" s="177"/>
      <c r="P78" s="177"/>
      <c r="Q78" s="177"/>
      <c r="R78" s="177"/>
      <c r="S78" s="177"/>
      <c r="T78" s="74"/>
      <c r="U78" s="74"/>
      <c r="V78" s="74"/>
      <c r="W78" s="74"/>
      <c r="X78" s="74"/>
      <c r="Y78" s="74"/>
      <c r="Z78" s="74"/>
      <c r="AA78" s="100"/>
      <c r="AB78" s="100"/>
      <c r="AC78" s="82"/>
      <c r="AD78" s="82"/>
      <c r="AE78" s="82"/>
      <c r="AF78" s="118"/>
    </row>
    <row r="79" spans="1:32" ht="20.25" customHeight="1">
      <c r="A79" s="74"/>
      <c r="B79" s="74"/>
      <c r="C79" s="74"/>
      <c r="D79" s="74"/>
      <c r="E79" s="74"/>
      <c r="F79" s="74"/>
      <c r="G79" s="74"/>
      <c r="H79" s="74"/>
      <c r="I79" s="74"/>
      <c r="J79" s="74"/>
      <c r="K79" s="74"/>
      <c r="L79" s="74"/>
      <c r="M79" s="74"/>
      <c r="N79" s="74"/>
      <c r="O79" s="177"/>
      <c r="P79" s="177"/>
      <c r="Q79" s="177"/>
      <c r="R79" s="177"/>
      <c r="S79" s="177"/>
      <c r="T79" s="74"/>
      <c r="U79" s="74"/>
      <c r="V79" s="74"/>
      <c r="W79" s="74"/>
      <c r="X79" s="74"/>
      <c r="Y79" s="74"/>
      <c r="Z79" s="74"/>
      <c r="AA79" s="100"/>
      <c r="AB79" s="100"/>
      <c r="AC79" s="74"/>
      <c r="AD79" s="74"/>
      <c r="AE79" s="74"/>
      <c r="AF79" s="118"/>
    </row>
    <row r="80" spans="1:32" ht="20.25" customHeight="1">
      <c r="A80" s="74"/>
      <c r="B80" s="74"/>
      <c r="C80" s="74"/>
      <c r="D80" s="162"/>
      <c r="E80" s="162"/>
      <c r="F80" s="162"/>
      <c r="G80" s="162"/>
      <c r="H80" s="162"/>
      <c r="I80" s="162"/>
      <c r="J80" s="162"/>
      <c r="K80" s="161"/>
      <c r="L80" s="162"/>
      <c r="M80" s="162"/>
      <c r="N80" s="162"/>
      <c r="O80" s="177"/>
      <c r="P80" s="177"/>
      <c r="Q80" s="177"/>
      <c r="R80" s="177"/>
      <c r="S80" s="177"/>
      <c r="T80" s="74"/>
      <c r="U80" s="74"/>
      <c r="V80" s="74"/>
      <c r="W80" s="74"/>
      <c r="X80" s="74"/>
      <c r="Y80" s="74"/>
      <c r="Z80" s="74"/>
      <c r="AA80" s="100"/>
      <c r="AB80" s="100"/>
      <c r="AC80" s="74"/>
      <c r="AD80" s="74"/>
      <c r="AE80" s="74"/>
      <c r="AF80" s="118"/>
    </row>
    <row r="81" spans="1:32" ht="20.25" customHeight="1">
      <c r="A81" s="64"/>
      <c r="B81" s="74"/>
      <c r="C81" s="74"/>
      <c r="D81" s="162"/>
      <c r="E81" s="162"/>
      <c r="F81" s="162"/>
      <c r="G81" s="162"/>
      <c r="H81" s="162"/>
      <c r="I81" s="162"/>
      <c r="J81" s="162"/>
      <c r="K81" s="161"/>
      <c r="L81" s="162"/>
      <c r="M81" s="162"/>
      <c r="N81" s="162"/>
      <c r="O81" s="64"/>
      <c r="P81" s="64"/>
      <c r="Q81" s="64"/>
      <c r="R81" s="64"/>
      <c r="S81" s="64"/>
      <c r="T81" s="64"/>
      <c r="U81" s="64"/>
      <c r="V81" s="64"/>
      <c r="W81" s="64"/>
      <c r="X81" s="64"/>
      <c r="Y81" s="64"/>
      <c r="Z81" s="64"/>
      <c r="AA81" s="64"/>
      <c r="AB81" s="64"/>
      <c r="AC81" s="64"/>
      <c r="AD81" s="64"/>
      <c r="AE81" s="64"/>
      <c r="AF81" s="118"/>
    </row>
    <row r="82" spans="1:32" ht="20.25" customHeight="1">
      <c r="A82" s="64"/>
      <c r="B82" s="74"/>
      <c r="C82" s="178"/>
      <c r="D82" s="162"/>
      <c r="E82" s="162"/>
      <c r="F82" s="162"/>
      <c r="G82" s="162"/>
      <c r="H82" s="162"/>
      <c r="I82" s="162"/>
      <c r="J82" s="162"/>
      <c r="K82" s="161"/>
      <c r="L82" s="162"/>
      <c r="M82" s="162"/>
      <c r="N82" s="162"/>
      <c r="O82" s="64"/>
      <c r="P82" s="64"/>
      <c r="Q82" s="64"/>
      <c r="R82" s="64"/>
      <c r="S82" s="64"/>
      <c r="T82" s="64"/>
      <c r="U82" s="64"/>
      <c r="V82" s="64"/>
      <c r="W82" s="64"/>
      <c r="X82" s="64"/>
      <c r="Y82" s="64"/>
      <c r="Z82" s="64"/>
      <c r="AA82" s="64"/>
      <c r="AB82" s="64"/>
      <c r="AC82" s="64"/>
      <c r="AD82" s="64"/>
      <c r="AE82" s="64"/>
      <c r="AF82" s="118"/>
    </row>
    <row r="83" spans="1:32" ht="20.25" customHeight="1">
      <c r="A83" s="64"/>
      <c r="B83" s="179"/>
      <c r="C83" s="179"/>
      <c r="D83" s="74"/>
      <c r="E83" s="74"/>
      <c r="F83" s="74"/>
      <c r="G83" s="74"/>
      <c r="H83" s="74"/>
      <c r="I83" s="74"/>
      <c r="J83" s="74"/>
      <c r="K83" s="74"/>
      <c r="L83" s="74"/>
      <c r="M83" s="74"/>
      <c r="N83" s="74"/>
      <c r="O83" s="64"/>
      <c r="P83" s="64"/>
      <c r="Q83" s="64"/>
      <c r="R83" s="64"/>
      <c r="S83" s="64"/>
      <c r="T83" s="64"/>
      <c r="U83" s="64"/>
      <c r="V83" s="64"/>
      <c r="W83" s="64"/>
      <c r="X83" s="64"/>
      <c r="Y83" s="64"/>
      <c r="Z83" s="64"/>
      <c r="AA83" s="64"/>
      <c r="AB83" s="64"/>
      <c r="AC83" s="64"/>
      <c r="AD83" s="64"/>
      <c r="AE83" s="64"/>
      <c r="AF83" s="118"/>
    </row>
    <row r="84" spans="1:32" ht="25" customHeight="1">
      <c r="A84" s="69"/>
      <c r="B84" s="179"/>
      <c r="C84" s="179"/>
      <c r="D84" s="74"/>
      <c r="E84" s="74"/>
      <c r="F84" s="74"/>
      <c r="G84" s="74"/>
      <c r="H84" s="74"/>
      <c r="I84" s="74"/>
      <c r="J84" s="74"/>
      <c r="K84" s="74"/>
      <c r="L84" s="74"/>
      <c r="M84" s="74"/>
      <c r="N84" s="74"/>
      <c r="O84" s="69"/>
      <c r="P84" s="69"/>
      <c r="Q84" s="69"/>
      <c r="R84" s="69"/>
      <c r="S84" s="69"/>
      <c r="T84" s="69"/>
      <c r="U84" s="69"/>
      <c r="V84" s="69"/>
      <c r="W84" s="69"/>
      <c r="X84" s="69"/>
      <c r="Y84" s="69"/>
      <c r="Z84" s="69"/>
      <c r="AA84" s="69"/>
      <c r="AB84" s="69"/>
      <c r="AC84" s="69"/>
      <c r="AD84" s="69"/>
      <c r="AE84" s="69"/>
      <c r="AF84" s="118"/>
    </row>
    <row r="85" spans="1:32" ht="20.25" customHeight="1">
      <c r="A85" s="64"/>
      <c r="B85" s="179"/>
      <c r="C85" s="179"/>
      <c r="D85" s="74"/>
      <c r="E85" s="74"/>
      <c r="F85" s="74"/>
      <c r="G85" s="74"/>
      <c r="H85" s="74"/>
      <c r="I85" s="74"/>
      <c r="J85" s="74"/>
      <c r="K85" s="74"/>
      <c r="L85" s="74"/>
      <c r="M85" s="74"/>
      <c r="N85" s="74"/>
      <c r="O85" s="64"/>
      <c r="P85" s="64"/>
      <c r="Q85" s="64"/>
      <c r="R85" s="64"/>
      <c r="S85" s="64"/>
      <c r="T85" s="64"/>
      <c r="U85" s="64"/>
      <c r="V85" s="64"/>
      <c r="W85" s="64"/>
      <c r="X85" s="64"/>
      <c r="Y85" s="64"/>
      <c r="Z85" s="64"/>
      <c r="AA85" s="64"/>
      <c r="AB85" s="64"/>
      <c r="AC85" s="64"/>
      <c r="AD85" s="64"/>
      <c r="AE85" s="64"/>
      <c r="AF85" s="118"/>
    </row>
    <row r="86" spans="1:32" ht="25" customHeight="1">
      <c r="A86" s="69"/>
      <c r="B86" s="179"/>
      <c r="C86" s="179"/>
      <c r="D86" s="74"/>
      <c r="E86" s="74"/>
      <c r="F86" s="74"/>
      <c r="G86" s="74"/>
      <c r="H86" s="74"/>
      <c r="I86" s="74"/>
      <c r="J86" s="74"/>
      <c r="K86" s="74"/>
      <c r="L86" s="74"/>
      <c r="M86" s="74"/>
      <c r="N86" s="74"/>
      <c r="O86" s="69"/>
      <c r="P86" s="69"/>
      <c r="Q86" s="69"/>
      <c r="R86" s="69"/>
      <c r="S86" s="69"/>
      <c r="T86" s="69"/>
      <c r="U86" s="69"/>
      <c r="V86" s="69"/>
      <c r="W86" s="69"/>
      <c r="X86" s="69"/>
      <c r="Y86" s="69"/>
      <c r="Z86" s="69"/>
      <c r="AA86" s="69"/>
      <c r="AB86" s="69"/>
      <c r="AC86" s="69"/>
      <c r="AD86" s="69"/>
      <c r="AE86" s="69"/>
      <c r="AF86" s="118"/>
    </row>
    <row r="87" spans="1:32" ht="25" customHeight="1">
      <c r="A87" s="69"/>
      <c r="B87" s="177"/>
      <c r="C87" s="177"/>
      <c r="D87" s="177"/>
      <c r="E87" s="177"/>
      <c r="F87" s="177"/>
      <c r="G87" s="177"/>
      <c r="H87" s="177"/>
      <c r="I87" s="177"/>
      <c r="J87" s="177"/>
      <c r="K87" s="177"/>
      <c r="L87" s="177"/>
      <c r="M87" s="177"/>
      <c r="N87" s="177"/>
      <c r="O87" s="69"/>
      <c r="P87" s="69"/>
      <c r="Q87" s="69"/>
      <c r="R87" s="69"/>
      <c r="S87" s="69"/>
      <c r="T87" s="69"/>
      <c r="U87" s="69"/>
      <c r="V87" s="69"/>
      <c r="W87" s="69"/>
      <c r="X87" s="69"/>
      <c r="Y87" s="69"/>
      <c r="Z87" s="69"/>
      <c r="AA87" s="69"/>
      <c r="AB87" s="69"/>
      <c r="AC87" s="69"/>
      <c r="AD87" s="69"/>
      <c r="AE87" s="69"/>
      <c r="AF87" s="118"/>
    </row>
    <row r="88" spans="1:32" ht="20.25" customHeight="1">
      <c r="A88" s="180"/>
      <c r="B88" s="177"/>
      <c r="C88" s="177"/>
      <c r="D88" s="177"/>
      <c r="E88" s="177"/>
      <c r="F88" s="177"/>
      <c r="G88" s="177"/>
      <c r="H88" s="177"/>
      <c r="I88" s="177"/>
      <c r="J88" s="177"/>
      <c r="K88" s="177"/>
      <c r="L88" s="177"/>
      <c r="M88" s="177"/>
      <c r="N88" s="177"/>
      <c r="O88" s="64"/>
      <c r="P88" s="64"/>
      <c r="Q88" s="64"/>
      <c r="R88" s="64"/>
      <c r="S88" s="64"/>
      <c r="T88" s="64"/>
      <c r="U88" s="64"/>
      <c r="V88" s="64"/>
      <c r="W88" s="64"/>
      <c r="X88" s="64"/>
      <c r="Y88" s="64"/>
      <c r="Z88" s="64"/>
      <c r="AA88" s="64"/>
      <c r="AB88" s="64"/>
      <c r="AC88" s="64"/>
      <c r="AD88" s="64"/>
      <c r="AE88" s="64"/>
      <c r="AF88" s="118"/>
    </row>
    <row r="89" spans="1:32" ht="20.25" customHeight="1">
      <c r="A89" s="73"/>
      <c r="B89" s="177"/>
      <c r="C89" s="177"/>
      <c r="D89" s="177"/>
      <c r="E89" s="177"/>
      <c r="F89" s="177"/>
      <c r="G89" s="177"/>
      <c r="H89" s="177"/>
      <c r="I89" s="177"/>
      <c r="J89" s="177"/>
      <c r="K89" s="177"/>
      <c r="L89" s="177"/>
      <c r="M89" s="177"/>
      <c r="N89" s="177"/>
      <c r="O89" s="74"/>
      <c r="P89" s="74"/>
      <c r="Q89" s="74"/>
      <c r="R89" s="74"/>
      <c r="S89" s="74"/>
      <c r="T89" s="74"/>
      <c r="U89" s="74"/>
      <c r="V89" s="74"/>
      <c r="W89" s="74"/>
      <c r="X89" s="74"/>
      <c r="Y89" s="74"/>
      <c r="Z89" s="74"/>
      <c r="AA89" s="74"/>
      <c r="AB89" s="74"/>
      <c r="AC89" s="74"/>
      <c r="AD89" s="74"/>
      <c r="AE89" s="74"/>
      <c r="AF89" s="118"/>
    </row>
    <row r="90" spans="1:32" ht="20.25" customHeight="1">
      <c r="A90" s="76"/>
      <c r="B90" s="64"/>
      <c r="C90" s="64"/>
      <c r="D90" s="64"/>
      <c r="E90" s="64"/>
      <c r="F90" s="64"/>
      <c r="G90" s="64"/>
      <c r="H90" s="64"/>
      <c r="I90" s="64"/>
      <c r="J90" s="64"/>
      <c r="K90" s="64"/>
      <c r="L90" s="64"/>
      <c r="M90" s="64"/>
      <c r="N90" s="64"/>
      <c r="O90" s="69"/>
      <c r="P90" s="69"/>
      <c r="Q90" s="69"/>
      <c r="R90" s="69"/>
      <c r="S90" s="69"/>
      <c r="T90" s="69"/>
      <c r="U90" s="69"/>
      <c r="V90" s="69"/>
      <c r="W90" s="69"/>
      <c r="X90" s="69"/>
      <c r="Y90" s="69"/>
      <c r="Z90" s="69"/>
      <c r="AA90" s="69"/>
      <c r="AB90" s="69"/>
      <c r="AC90" s="69"/>
      <c r="AD90" s="69"/>
      <c r="AE90" s="69"/>
      <c r="AF90" s="118"/>
    </row>
    <row r="91" spans="1:32" ht="20.25" customHeight="1">
      <c r="A91" s="76"/>
      <c r="B91" s="64"/>
      <c r="C91" s="64"/>
      <c r="D91" s="64"/>
      <c r="E91" s="64"/>
      <c r="F91" s="64"/>
      <c r="G91" s="64"/>
      <c r="H91" s="64"/>
      <c r="I91" s="64"/>
      <c r="J91" s="64"/>
      <c r="K91" s="64"/>
      <c r="L91" s="64"/>
      <c r="M91" s="64"/>
      <c r="N91" s="64"/>
      <c r="O91" s="69"/>
      <c r="P91" s="69"/>
      <c r="Q91" s="69"/>
      <c r="R91" s="69"/>
      <c r="S91" s="69"/>
      <c r="T91" s="69"/>
      <c r="U91" s="69"/>
      <c r="V91" s="69"/>
      <c r="W91" s="69"/>
      <c r="X91" s="69"/>
      <c r="Y91" s="69"/>
      <c r="Z91" s="69"/>
      <c r="AA91" s="69"/>
      <c r="AB91" s="69"/>
      <c r="AC91" s="69"/>
      <c r="AD91" s="69"/>
      <c r="AE91" s="69"/>
      <c r="AF91" s="118"/>
    </row>
    <row r="92" spans="1:32" ht="20.25" customHeight="1">
      <c r="A92" s="74"/>
      <c r="B92" s="64"/>
      <c r="C92" s="64"/>
      <c r="D92" s="64"/>
      <c r="E92" s="64"/>
      <c r="F92" s="64"/>
      <c r="G92" s="64"/>
      <c r="H92" s="64"/>
      <c r="I92" s="64"/>
      <c r="J92" s="64"/>
      <c r="K92" s="64"/>
      <c r="L92" s="64"/>
      <c r="M92" s="64"/>
      <c r="N92" s="64"/>
      <c r="O92" s="74"/>
      <c r="P92" s="74"/>
      <c r="Q92" s="74"/>
      <c r="R92" s="74"/>
      <c r="S92" s="74"/>
      <c r="T92" s="74"/>
      <c r="U92" s="74"/>
      <c r="V92" s="74"/>
      <c r="W92" s="74"/>
      <c r="X92" s="74"/>
      <c r="Y92" s="74"/>
      <c r="Z92" s="74"/>
      <c r="AA92" s="74"/>
      <c r="AB92" s="74"/>
      <c r="AC92" s="74"/>
      <c r="AD92" s="74"/>
      <c r="AE92" s="74"/>
      <c r="AF92" s="118"/>
    </row>
    <row r="93" spans="1:32" ht="20.25" customHeight="1">
      <c r="A93" s="79"/>
      <c r="B93" s="107"/>
      <c r="C93" s="107"/>
      <c r="D93" s="107"/>
      <c r="E93" s="107"/>
      <c r="F93" s="107"/>
      <c r="G93" s="107"/>
      <c r="H93" s="107"/>
      <c r="I93" s="107"/>
      <c r="J93" s="107"/>
      <c r="K93" s="107"/>
      <c r="L93" s="107"/>
      <c r="M93" s="107"/>
      <c r="N93" s="69"/>
      <c r="O93" s="79"/>
      <c r="P93" s="79"/>
      <c r="Q93" s="79"/>
      <c r="R93" s="79"/>
      <c r="S93" s="79"/>
      <c r="T93" s="79"/>
      <c r="U93" s="79"/>
      <c r="V93" s="79"/>
      <c r="W93" s="79"/>
      <c r="X93" s="79"/>
      <c r="Y93" s="79"/>
      <c r="Z93" s="79"/>
      <c r="AA93" s="79"/>
      <c r="AB93" s="79"/>
      <c r="AC93" s="79"/>
      <c r="AD93" s="79"/>
      <c r="AE93" s="79"/>
      <c r="AF93" s="118"/>
    </row>
    <row r="94" spans="1:32" ht="20.25" customHeight="1">
      <c r="A94" s="180"/>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118"/>
    </row>
    <row r="95" spans="1:32" ht="20.25" customHeight="1">
      <c r="A95" s="73"/>
      <c r="B95" s="107"/>
      <c r="C95" s="107"/>
      <c r="D95" s="107"/>
      <c r="E95" s="107"/>
      <c r="F95" s="107"/>
      <c r="G95" s="107"/>
      <c r="H95" s="107"/>
      <c r="I95" s="107"/>
      <c r="J95" s="107"/>
      <c r="K95" s="107"/>
      <c r="L95" s="107"/>
      <c r="M95" s="107"/>
      <c r="N95" s="69"/>
      <c r="O95" s="74"/>
      <c r="P95" s="74"/>
      <c r="Q95" s="74"/>
      <c r="R95" s="74"/>
      <c r="S95" s="74"/>
      <c r="T95" s="74"/>
      <c r="U95" s="74"/>
      <c r="V95" s="74"/>
      <c r="W95" s="74"/>
      <c r="X95" s="74"/>
      <c r="Y95" s="74"/>
      <c r="Z95" s="74"/>
      <c r="AA95" s="74"/>
      <c r="AB95" s="74"/>
      <c r="AC95" s="74"/>
      <c r="AD95" s="74"/>
      <c r="AE95" s="74"/>
      <c r="AF95" s="118"/>
    </row>
    <row r="96" spans="1:32" ht="20.25" customHeight="1">
      <c r="A96" s="76"/>
      <c r="B96" s="107"/>
      <c r="C96" s="107"/>
      <c r="D96" s="107"/>
      <c r="E96" s="107"/>
      <c r="F96" s="107"/>
      <c r="G96" s="107"/>
      <c r="H96" s="107"/>
      <c r="I96" s="107"/>
      <c r="J96" s="107"/>
      <c r="K96" s="107"/>
      <c r="L96" s="107"/>
      <c r="M96" s="107"/>
      <c r="N96" s="69"/>
      <c r="O96" s="69"/>
      <c r="P96" s="69"/>
      <c r="Q96" s="69"/>
      <c r="R96" s="69"/>
      <c r="S96" s="69"/>
      <c r="T96" s="69"/>
      <c r="U96" s="69"/>
      <c r="V96" s="69"/>
      <c r="W96" s="69"/>
      <c r="X96" s="69"/>
      <c r="Y96" s="69"/>
      <c r="Z96" s="69"/>
      <c r="AA96" s="69"/>
      <c r="AB96" s="69"/>
      <c r="AC96" s="69"/>
      <c r="AD96" s="69"/>
      <c r="AE96" s="69"/>
      <c r="AF96" s="118"/>
    </row>
    <row r="97" spans="1:32" ht="20.25" customHeight="1">
      <c r="A97" s="74"/>
      <c r="B97" s="108"/>
      <c r="C97" s="109"/>
      <c r="D97" s="109"/>
      <c r="E97" s="109"/>
      <c r="F97" s="109"/>
      <c r="G97" s="109"/>
      <c r="H97" s="109"/>
      <c r="I97" s="109"/>
      <c r="J97" s="109"/>
      <c r="K97" s="109"/>
      <c r="L97" s="109"/>
      <c r="M97" s="109"/>
      <c r="N97" s="64"/>
      <c r="O97" s="74"/>
      <c r="P97" s="74"/>
      <c r="Q97" s="74"/>
      <c r="R97" s="74"/>
      <c r="S97" s="74"/>
      <c r="T97" s="74"/>
      <c r="U97" s="74"/>
      <c r="V97" s="74"/>
      <c r="W97" s="74"/>
      <c r="X97" s="74"/>
      <c r="Y97" s="74"/>
      <c r="Z97" s="74"/>
      <c r="AA97" s="74"/>
      <c r="AB97" s="74"/>
      <c r="AC97" s="74"/>
      <c r="AD97" s="74"/>
      <c r="AE97" s="74"/>
      <c r="AF97" s="118"/>
    </row>
    <row r="98" spans="1:32" ht="20.25" customHeight="1">
      <c r="A98" s="79"/>
      <c r="B98" s="110"/>
      <c r="C98" s="110"/>
      <c r="D98" s="110"/>
      <c r="E98" s="110"/>
      <c r="F98" s="110"/>
      <c r="G98" s="110"/>
      <c r="H98" s="110"/>
      <c r="I98" s="110"/>
      <c r="J98" s="110"/>
      <c r="K98" s="110"/>
      <c r="L98" s="110"/>
      <c r="M98" s="110"/>
      <c r="N98" s="74"/>
      <c r="O98" s="79"/>
      <c r="P98" s="79"/>
      <c r="Q98" s="79"/>
      <c r="R98" s="79"/>
      <c r="S98" s="79"/>
      <c r="T98" s="79"/>
      <c r="U98" s="79"/>
      <c r="V98" s="79"/>
      <c r="W98" s="79"/>
      <c r="X98" s="79"/>
      <c r="Y98" s="79"/>
      <c r="Z98" s="79"/>
      <c r="AA98" s="79"/>
      <c r="AB98" s="79"/>
      <c r="AC98" s="79"/>
      <c r="AD98" s="79"/>
      <c r="AE98" s="79"/>
      <c r="AF98" s="118"/>
    </row>
    <row r="99" spans="1:32" ht="20.25" customHeight="1">
      <c r="A99" s="180"/>
      <c r="B99" s="108"/>
      <c r="C99" s="110"/>
      <c r="D99" s="110"/>
      <c r="E99" s="110"/>
      <c r="F99" s="110"/>
      <c r="G99" s="110"/>
      <c r="H99" s="107"/>
      <c r="I99" s="107"/>
      <c r="J99" s="107"/>
      <c r="K99" s="107"/>
      <c r="L99" s="107"/>
      <c r="M99" s="107"/>
      <c r="N99" s="69"/>
      <c r="O99" s="64"/>
      <c r="P99" s="64"/>
      <c r="Q99" s="64"/>
      <c r="R99" s="64"/>
      <c r="S99" s="64"/>
      <c r="T99" s="64"/>
      <c r="U99" s="64"/>
      <c r="V99" s="64"/>
      <c r="W99" s="64"/>
      <c r="X99" s="64"/>
      <c r="Y99" s="64"/>
      <c r="Z99" s="64"/>
      <c r="AA99" s="64"/>
      <c r="AB99" s="64"/>
      <c r="AC99" s="64"/>
      <c r="AD99" s="64"/>
      <c r="AE99" s="64"/>
      <c r="AF99" s="118"/>
    </row>
    <row r="100" spans="1:32" ht="20.25" customHeight="1">
      <c r="A100" s="73"/>
      <c r="B100" s="108"/>
      <c r="C100" s="110"/>
      <c r="D100" s="110"/>
      <c r="E100" s="110"/>
      <c r="F100" s="110"/>
      <c r="G100" s="110"/>
      <c r="H100" s="107"/>
      <c r="I100" s="107"/>
      <c r="J100" s="107"/>
      <c r="K100" s="107"/>
      <c r="L100" s="107"/>
      <c r="M100" s="107"/>
      <c r="N100" s="69"/>
      <c r="O100" s="74"/>
      <c r="P100" s="74"/>
      <c r="Q100" s="74"/>
      <c r="R100" s="74"/>
      <c r="S100" s="74"/>
      <c r="T100" s="74"/>
      <c r="U100" s="74"/>
      <c r="V100" s="74"/>
      <c r="W100" s="74"/>
      <c r="X100" s="74"/>
      <c r="Y100" s="74"/>
      <c r="Z100" s="74"/>
      <c r="AA100" s="74"/>
      <c r="AB100" s="74"/>
      <c r="AC100" s="74"/>
      <c r="AD100" s="74"/>
      <c r="AE100" s="74"/>
      <c r="AF100" s="118"/>
    </row>
    <row r="101" spans="1:32" ht="20.25" customHeight="1">
      <c r="A101" s="76"/>
      <c r="B101" s="110"/>
      <c r="C101" s="110"/>
      <c r="D101" s="110"/>
      <c r="E101" s="110"/>
      <c r="F101" s="110"/>
      <c r="G101" s="110"/>
      <c r="H101" s="110"/>
      <c r="I101" s="110"/>
      <c r="J101" s="110"/>
      <c r="K101" s="110"/>
      <c r="L101" s="110"/>
      <c r="M101" s="110"/>
      <c r="N101" s="74"/>
      <c r="O101" s="69"/>
      <c r="P101" s="69"/>
      <c r="Q101" s="69"/>
      <c r="R101" s="69"/>
      <c r="S101" s="69"/>
      <c r="T101" s="69"/>
      <c r="U101" s="69"/>
      <c r="V101" s="69"/>
      <c r="W101" s="69"/>
      <c r="X101" s="69"/>
      <c r="Y101" s="69"/>
      <c r="Z101" s="69"/>
      <c r="AA101" s="69"/>
      <c r="AB101" s="69"/>
      <c r="AC101" s="69"/>
      <c r="AD101" s="69"/>
      <c r="AE101" s="69"/>
      <c r="AF101" s="118"/>
    </row>
    <row r="102" spans="1:32" ht="20.25" customHeight="1">
      <c r="A102" s="76"/>
      <c r="B102" s="111"/>
      <c r="C102" s="111"/>
      <c r="D102" s="110"/>
      <c r="E102" s="111"/>
      <c r="F102" s="111"/>
      <c r="G102" s="111"/>
      <c r="H102" s="111"/>
      <c r="I102" s="111"/>
      <c r="J102" s="111"/>
      <c r="K102" s="111"/>
      <c r="L102" s="111"/>
      <c r="M102" s="111"/>
      <c r="N102" s="79"/>
      <c r="O102" s="69"/>
      <c r="P102" s="69"/>
      <c r="Q102" s="69"/>
      <c r="R102" s="69"/>
      <c r="S102" s="69"/>
      <c r="T102" s="69"/>
      <c r="U102" s="69"/>
      <c r="V102" s="69"/>
      <c r="W102" s="69"/>
      <c r="X102" s="69"/>
      <c r="Y102" s="69"/>
      <c r="Z102" s="69"/>
      <c r="AA102" s="69"/>
      <c r="AB102" s="69"/>
      <c r="AC102" s="69"/>
      <c r="AD102" s="69"/>
      <c r="AE102" s="69"/>
      <c r="AF102" s="118"/>
    </row>
    <row r="103" spans="1:32" ht="20.25" customHeight="1">
      <c r="A103" s="74"/>
      <c r="B103" s="109"/>
      <c r="C103" s="109"/>
      <c r="D103" s="109"/>
      <c r="E103" s="109"/>
      <c r="F103" s="109"/>
      <c r="G103" s="109"/>
      <c r="H103" s="109"/>
      <c r="I103" s="109"/>
      <c r="J103" s="109"/>
      <c r="K103" s="109"/>
      <c r="L103" s="109"/>
      <c r="M103" s="109"/>
      <c r="N103" s="64"/>
      <c r="O103" s="74"/>
      <c r="P103" s="74"/>
      <c r="Q103" s="74"/>
      <c r="R103" s="74"/>
      <c r="S103" s="74"/>
      <c r="T103" s="74"/>
      <c r="U103" s="74"/>
      <c r="V103" s="74"/>
      <c r="W103" s="74"/>
      <c r="X103" s="74"/>
      <c r="Y103" s="74"/>
      <c r="Z103" s="74"/>
      <c r="AA103" s="74"/>
      <c r="AB103" s="74"/>
      <c r="AC103" s="74"/>
      <c r="AD103" s="74"/>
      <c r="AE103" s="74"/>
      <c r="AF103" s="118"/>
    </row>
    <row r="104" spans="1:32" ht="20.25" customHeight="1">
      <c r="A104" s="79"/>
      <c r="B104" s="110"/>
      <c r="C104" s="110"/>
      <c r="D104" s="110"/>
      <c r="E104" s="110"/>
      <c r="F104" s="110"/>
      <c r="G104" s="110"/>
      <c r="H104" s="110"/>
      <c r="I104" s="110"/>
      <c r="J104" s="110"/>
      <c r="K104" s="110"/>
      <c r="L104" s="110"/>
      <c r="M104" s="110"/>
      <c r="N104" s="74"/>
      <c r="O104" s="79"/>
      <c r="P104" s="79"/>
      <c r="Q104" s="79"/>
      <c r="R104" s="79"/>
      <c r="S104" s="79"/>
      <c r="T104" s="79"/>
      <c r="U104" s="79"/>
      <c r="V104" s="79"/>
      <c r="W104" s="79"/>
      <c r="X104" s="79"/>
      <c r="Y104" s="79"/>
      <c r="Z104" s="79"/>
      <c r="AA104" s="79"/>
      <c r="AB104" s="79"/>
      <c r="AC104" s="79"/>
      <c r="AD104" s="79"/>
      <c r="AE104" s="79"/>
      <c r="AF104" s="118"/>
    </row>
    <row r="105" spans="1:32" ht="20.25" customHeight="1">
      <c r="A105" s="82"/>
      <c r="B105" s="107"/>
      <c r="C105" s="110"/>
      <c r="D105" s="110"/>
      <c r="E105" s="110"/>
      <c r="F105" s="110"/>
      <c r="G105" s="110"/>
      <c r="H105" s="107"/>
      <c r="I105" s="107"/>
      <c r="J105" s="107"/>
      <c r="K105" s="107"/>
      <c r="L105" s="107"/>
      <c r="M105" s="107"/>
      <c r="N105" s="69"/>
      <c r="O105" s="82"/>
      <c r="P105" s="82"/>
      <c r="Q105" s="82"/>
      <c r="R105" s="82"/>
      <c r="S105" s="82"/>
      <c r="T105" s="82"/>
      <c r="U105" s="82"/>
      <c r="V105" s="82"/>
      <c r="W105" s="82"/>
      <c r="X105" s="82"/>
      <c r="Y105" s="82"/>
      <c r="Z105" s="82"/>
      <c r="AA105" s="82"/>
      <c r="AB105" s="82"/>
      <c r="AC105" s="82"/>
      <c r="AD105" s="82"/>
      <c r="AE105" s="82"/>
      <c r="AF105" s="118"/>
    </row>
    <row r="106" spans="1:32" ht="20.25" customHeight="1">
      <c r="A106" s="74"/>
      <c r="B106" s="110"/>
      <c r="C106" s="110"/>
      <c r="D106" s="110"/>
      <c r="E106" s="110"/>
      <c r="F106" s="110"/>
      <c r="G106" s="110"/>
      <c r="H106" s="110"/>
      <c r="I106" s="110"/>
      <c r="J106" s="110"/>
      <c r="K106" s="110"/>
      <c r="L106" s="110"/>
      <c r="M106" s="110"/>
      <c r="N106" s="74"/>
      <c r="O106" s="74"/>
      <c r="P106" s="74"/>
      <c r="Q106" s="74"/>
      <c r="R106" s="74"/>
      <c r="S106" s="74"/>
      <c r="T106" s="74"/>
      <c r="U106" s="74"/>
      <c r="V106" s="74"/>
      <c r="W106" s="74"/>
      <c r="X106" s="74"/>
      <c r="Y106" s="74"/>
      <c r="Z106" s="74"/>
      <c r="AA106" s="74"/>
      <c r="AB106" s="74"/>
      <c r="AC106" s="74"/>
      <c r="AD106" s="74"/>
      <c r="AE106" s="74"/>
      <c r="AF106" s="118"/>
    </row>
    <row r="107" spans="1:32" ht="20.25" customHeight="1">
      <c r="A107" s="74"/>
      <c r="B107" s="111"/>
      <c r="C107" s="111"/>
      <c r="D107" s="110"/>
      <c r="E107" s="111"/>
      <c r="F107" s="111"/>
      <c r="G107" s="111"/>
      <c r="H107" s="111"/>
      <c r="I107" s="111"/>
      <c r="J107" s="111"/>
      <c r="K107" s="111"/>
      <c r="L107" s="111"/>
      <c r="M107" s="111"/>
      <c r="N107" s="79"/>
      <c r="O107" s="74"/>
      <c r="P107" s="74"/>
      <c r="Q107" s="74"/>
      <c r="R107" s="74"/>
      <c r="S107" s="74"/>
      <c r="T107" s="74"/>
      <c r="U107" s="74"/>
      <c r="V107" s="74"/>
      <c r="W107" s="74"/>
      <c r="X107" s="74"/>
      <c r="Y107" s="74"/>
      <c r="Z107" s="74"/>
      <c r="AA107" s="74"/>
      <c r="AB107" s="74"/>
      <c r="AC107" s="74"/>
      <c r="AD107" s="74"/>
      <c r="AE107" s="74"/>
      <c r="AF107" s="118"/>
    </row>
    <row r="108" spans="1:32" ht="20.25" customHeight="1">
      <c r="A108" s="64"/>
      <c r="B108" s="109"/>
      <c r="C108" s="109"/>
      <c r="D108" s="109"/>
      <c r="E108" s="109"/>
      <c r="F108" s="109"/>
      <c r="G108" s="109"/>
      <c r="H108" s="109"/>
      <c r="I108" s="109"/>
      <c r="J108" s="109"/>
      <c r="K108" s="109"/>
      <c r="L108" s="109"/>
      <c r="M108" s="109"/>
      <c r="N108" s="64"/>
      <c r="O108" s="64"/>
      <c r="P108" s="64"/>
      <c r="Q108" s="64"/>
      <c r="R108" s="64"/>
      <c r="S108" s="64"/>
      <c r="T108" s="64"/>
      <c r="U108" s="64"/>
      <c r="V108" s="64"/>
      <c r="W108" s="64"/>
      <c r="X108" s="64"/>
      <c r="Y108" s="64"/>
      <c r="Z108" s="64"/>
      <c r="AA108" s="64"/>
      <c r="AB108" s="64"/>
      <c r="AC108" s="64"/>
      <c r="AD108" s="64"/>
      <c r="AE108" s="64"/>
      <c r="AF108" s="118"/>
    </row>
    <row r="109" spans="1:32" ht="20.25" customHeight="1">
      <c r="A109" s="76"/>
      <c r="B109" s="110"/>
      <c r="C109" s="110"/>
      <c r="D109" s="110"/>
      <c r="E109" s="110"/>
      <c r="F109" s="110"/>
      <c r="G109" s="110"/>
      <c r="H109" s="110"/>
      <c r="I109" s="110"/>
      <c r="J109" s="110"/>
      <c r="K109" s="110"/>
      <c r="L109" s="110"/>
      <c r="M109" s="110"/>
      <c r="N109" s="74"/>
      <c r="O109" s="69"/>
      <c r="P109" s="69"/>
      <c r="Q109" s="69"/>
      <c r="R109" s="69"/>
      <c r="S109" s="69"/>
      <c r="T109" s="69"/>
      <c r="U109" s="69"/>
      <c r="V109" s="69"/>
      <c r="W109" s="69"/>
      <c r="X109" s="69"/>
      <c r="Y109" s="69"/>
      <c r="Z109" s="69"/>
      <c r="AA109" s="69"/>
      <c r="AB109" s="69"/>
      <c r="AC109" s="69"/>
      <c r="AD109" s="69"/>
      <c r="AE109" s="69"/>
      <c r="AF109" s="118"/>
    </row>
    <row r="110" spans="1:32" ht="20.25" customHeight="1">
      <c r="A110" s="76"/>
      <c r="B110" s="107"/>
      <c r="C110" s="110"/>
      <c r="D110" s="110"/>
      <c r="E110" s="110"/>
      <c r="F110" s="110"/>
      <c r="G110" s="110"/>
      <c r="H110" s="107"/>
      <c r="I110" s="107"/>
      <c r="J110" s="107"/>
      <c r="K110" s="107"/>
      <c r="L110" s="107"/>
      <c r="M110" s="107"/>
      <c r="N110" s="69"/>
      <c r="O110" s="69"/>
      <c r="P110" s="69"/>
      <c r="Q110" s="69"/>
      <c r="R110" s="69"/>
      <c r="S110" s="69"/>
      <c r="T110" s="69"/>
      <c r="U110" s="69"/>
      <c r="V110" s="69"/>
      <c r="W110" s="69"/>
      <c r="X110" s="69"/>
      <c r="Y110" s="69"/>
      <c r="Z110" s="69"/>
      <c r="AA110" s="69"/>
      <c r="AB110" s="69"/>
      <c r="AC110" s="69"/>
      <c r="AD110" s="69"/>
      <c r="AE110" s="69"/>
      <c r="AF110" s="118"/>
    </row>
    <row r="111" spans="1:32" ht="20.25" customHeight="1">
      <c r="A111" s="74"/>
      <c r="B111" s="107"/>
      <c r="C111" s="110"/>
      <c r="D111" s="110"/>
      <c r="E111" s="110"/>
      <c r="F111" s="110"/>
      <c r="G111" s="110"/>
      <c r="H111" s="107"/>
      <c r="I111" s="107"/>
      <c r="J111" s="107"/>
      <c r="K111" s="107"/>
      <c r="L111" s="107"/>
      <c r="M111" s="107"/>
      <c r="N111" s="69"/>
      <c r="O111" s="74"/>
      <c r="P111" s="74"/>
      <c r="Q111" s="74"/>
      <c r="R111" s="74"/>
      <c r="S111" s="74"/>
      <c r="T111" s="74"/>
      <c r="U111" s="74"/>
      <c r="V111" s="74"/>
      <c r="W111" s="74"/>
      <c r="X111" s="74"/>
      <c r="Y111" s="74"/>
      <c r="Z111" s="74"/>
      <c r="AA111" s="74"/>
      <c r="AB111" s="74"/>
      <c r="AC111" s="74"/>
      <c r="AD111" s="74"/>
      <c r="AE111" s="74"/>
      <c r="AF111" s="118"/>
    </row>
    <row r="112" spans="1:32" ht="20.25" customHeight="1">
      <c r="A112" s="64"/>
      <c r="B112" s="110"/>
      <c r="C112" s="110"/>
      <c r="D112" s="110"/>
      <c r="E112" s="110"/>
      <c r="F112" s="110"/>
      <c r="G112" s="110"/>
      <c r="H112" s="110"/>
      <c r="I112" s="110"/>
      <c r="J112" s="110"/>
      <c r="K112" s="110"/>
      <c r="L112" s="110"/>
      <c r="M112" s="110"/>
      <c r="N112" s="74"/>
      <c r="O112" s="64"/>
      <c r="P112" s="64"/>
      <c r="Q112" s="64"/>
      <c r="R112" s="64"/>
      <c r="S112" s="64"/>
      <c r="T112" s="64"/>
      <c r="U112" s="64"/>
      <c r="V112" s="64"/>
      <c r="W112" s="64"/>
      <c r="X112" s="64"/>
      <c r="Y112" s="64"/>
      <c r="Z112" s="64"/>
      <c r="AA112" s="64"/>
      <c r="AB112" s="64"/>
      <c r="AC112" s="64"/>
      <c r="AD112" s="64"/>
      <c r="AE112" s="64"/>
      <c r="AF112" s="118"/>
    </row>
    <row r="113" spans="1:32" ht="20.25" customHeight="1">
      <c r="A113" s="76"/>
      <c r="B113" s="111"/>
      <c r="C113" s="111"/>
      <c r="D113" s="110"/>
      <c r="E113" s="111"/>
      <c r="F113" s="111"/>
      <c r="G113" s="111"/>
      <c r="H113" s="111"/>
      <c r="I113" s="111"/>
      <c r="J113" s="111"/>
      <c r="K113" s="111"/>
      <c r="L113" s="111"/>
      <c r="M113" s="111"/>
      <c r="N113" s="79"/>
      <c r="O113" s="69"/>
      <c r="P113" s="69"/>
      <c r="Q113" s="69"/>
      <c r="R113" s="69"/>
      <c r="S113" s="69"/>
      <c r="T113" s="69"/>
      <c r="U113" s="69"/>
      <c r="V113" s="69"/>
      <c r="W113" s="69"/>
      <c r="X113" s="69"/>
      <c r="Y113" s="69"/>
      <c r="Z113" s="69"/>
      <c r="AA113" s="69"/>
      <c r="AB113" s="69"/>
      <c r="AC113" s="69"/>
      <c r="AD113" s="69"/>
      <c r="AE113" s="69"/>
      <c r="AF113" s="118"/>
    </row>
    <row r="114" spans="1:32" ht="20.25" customHeight="1">
      <c r="A114" s="76"/>
      <c r="B114" s="181"/>
      <c r="C114" s="181"/>
      <c r="D114" s="181"/>
      <c r="E114" s="181"/>
      <c r="F114" s="181"/>
      <c r="G114" s="181"/>
      <c r="H114" s="181"/>
      <c r="I114" s="181"/>
      <c r="J114" s="181"/>
      <c r="K114" s="181"/>
      <c r="L114" s="181"/>
      <c r="M114" s="181"/>
      <c r="N114" s="82"/>
      <c r="O114" s="69"/>
      <c r="P114" s="69"/>
      <c r="Q114" s="69"/>
      <c r="R114" s="69"/>
      <c r="S114" s="69"/>
      <c r="T114" s="69"/>
      <c r="U114" s="69"/>
      <c r="V114" s="69"/>
      <c r="W114" s="69"/>
      <c r="X114" s="69"/>
      <c r="Y114" s="69"/>
      <c r="Z114" s="69"/>
      <c r="AA114" s="69"/>
      <c r="AB114" s="69"/>
      <c r="AC114" s="69"/>
      <c r="AD114" s="69"/>
      <c r="AE114" s="69"/>
      <c r="AF114" s="118"/>
    </row>
    <row r="115" spans="1:32" ht="20.25" customHeight="1">
      <c r="A115" s="74"/>
      <c r="B115" s="110"/>
      <c r="C115" s="110"/>
      <c r="D115" s="110"/>
      <c r="E115" s="110"/>
      <c r="F115" s="110"/>
      <c r="G115" s="110"/>
      <c r="H115" s="110"/>
      <c r="I115" s="110"/>
      <c r="J115" s="110"/>
      <c r="K115" s="110"/>
      <c r="L115" s="110"/>
      <c r="M115" s="110"/>
      <c r="N115" s="74"/>
      <c r="O115" s="74"/>
      <c r="P115" s="74"/>
      <c r="Q115" s="74"/>
      <c r="R115" s="74"/>
      <c r="S115" s="74"/>
      <c r="T115" s="74"/>
      <c r="U115" s="74"/>
      <c r="V115" s="74"/>
      <c r="W115" s="74"/>
      <c r="X115" s="74"/>
      <c r="Y115" s="74"/>
      <c r="Z115" s="74"/>
      <c r="AA115" s="74"/>
      <c r="AB115" s="74"/>
      <c r="AC115" s="74"/>
      <c r="AD115" s="74"/>
      <c r="AE115" s="74"/>
      <c r="AF115" s="118"/>
    </row>
    <row r="116" spans="1:32" ht="20.25" customHeight="1">
      <c r="A116" s="79"/>
      <c r="B116" s="108"/>
      <c r="C116" s="110"/>
      <c r="D116" s="110"/>
      <c r="E116" s="110"/>
      <c r="F116" s="110"/>
      <c r="G116" s="110"/>
      <c r="H116" s="110"/>
      <c r="I116" s="110"/>
      <c r="J116" s="110"/>
      <c r="K116" s="110"/>
      <c r="L116" s="110"/>
      <c r="M116" s="110"/>
      <c r="N116" s="74"/>
      <c r="O116" s="79"/>
      <c r="P116" s="79"/>
      <c r="Q116" s="79"/>
      <c r="R116" s="79"/>
      <c r="S116" s="79"/>
      <c r="T116" s="79"/>
      <c r="U116" s="79"/>
      <c r="V116" s="79"/>
      <c r="W116" s="79"/>
      <c r="X116" s="79"/>
      <c r="Y116" s="79"/>
      <c r="Z116" s="79"/>
      <c r="AA116" s="79"/>
      <c r="AB116" s="79"/>
      <c r="AC116" s="79"/>
      <c r="AD116" s="79"/>
      <c r="AE116" s="79"/>
      <c r="AF116" s="118"/>
    </row>
    <row r="117" spans="1:32" ht="20.25" customHeight="1">
      <c r="A117" s="74"/>
      <c r="B117" s="109"/>
      <c r="C117" s="109"/>
      <c r="D117" s="109"/>
      <c r="E117" s="109"/>
      <c r="F117" s="109"/>
      <c r="G117" s="109"/>
      <c r="H117" s="109"/>
      <c r="I117" s="109"/>
      <c r="J117" s="109"/>
      <c r="K117" s="109"/>
      <c r="L117" s="109"/>
      <c r="M117" s="109"/>
      <c r="N117" s="64"/>
      <c r="O117" s="74"/>
      <c r="P117" s="74"/>
      <c r="Q117" s="74"/>
      <c r="R117" s="74"/>
      <c r="S117" s="74"/>
      <c r="T117" s="74"/>
      <c r="U117" s="74"/>
      <c r="V117" s="74"/>
      <c r="W117" s="74"/>
      <c r="X117" s="74"/>
      <c r="Y117" s="74"/>
      <c r="Z117" s="74"/>
      <c r="AA117" s="74"/>
      <c r="AB117" s="74"/>
      <c r="AC117" s="74"/>
      <c r="AD117" s="74"/>
      <c r="AE117" s="74"/>
      <c r="AF117" s="118"/>
    </row>
    <row r="118" spans="1:32" ht="20.25" customHeight="1">
      <c r="A118" s="64"/>
      <c r="B118" s="107"/>
      <c r="C118" s="110"/>
      <c r="D118" s="110"/>
      <c r="E118" s="110"/>
      <c r="F118" s="110"/>
      <c r="G118" s="110"/>
      <c r="H118" s="107"/>
      <c r="I118" s="107"/>
      <c r="J118" s="107"/>
      <c r="K118" s="107"/>
      <c r="L118" s="107"/>
      <c r="M118" s="107"/>
      <c r="N118" s="69"/>
      <c r="O118" s="64"/>
      <c r="P118" s="64"/>
      <c r="Q118" s="64"/>
      <c r="R118" s="64"/>
      <c r="S118" s="64"/>
      <c r="T118" s="64"/>
      <c r="U118" s="64"/>
      <c r="V118" s="64"/>
      <c r="W118" s="64"/>
      <c r="X118" s="64"/>
      <c r="Y118" s="64"/>
      <c r="Z118" s="64"/>
      <c r="AA118" s="64"/>
      <c r="AB118" s="64"/>
      <c r="AC118" s="64"/>
      <c r="AD118" s="64"/>
      <c r="AE118" s="64"/>
      <c r="AF118" s="118"/>
    </row>
    <row r="119" spans="1:32" ht="20.25" customHeight="1">
      <c r="A119" s="64"/>
      <c r="B119" s="76"/>
      <c r="C119" s="74"/>
      <c r="D119" s="74"/>
      <c r="E119" s="74"/>
      <c r="F119" s="74"/>
      <c r="G119" s="74"/>
      <c r="H119" s="69"/>
      <c r="I119" s="69"/>
      <c r="J119" s="69"/>
      <c r="K119" s="69"/>
      <c r="L119" s="69"/>
      <c r="M119" s="69"/>
      <c r="N119" s="69"/>
      <c r="O119" s="64"/>
      <c r="P119" s="64"/>
      <c r="Q119" s="64"/>
      <c r="R119" s="64"/>
      <c r="S119" s="64"/>
      <c r="T119" s="64"/>
      <c r="U119" s="64"/>
      <c r="V119" s="64"/>
      <c r="W119" s="64"/>
      <c r="X119" s="64"/>
      <c r="Y119" s="64"/>
      <c r="Z119" s="64"/>
      <c r="AA119" s="64"/>
      <c r="AB119" s="64"/>
      <c r="AC119" s="64"/>
      <c r="AD119" s="64"/>
      <c r="AE119" s="64"/>
      <c r="AF119" s="118"/>
    </row>
    <row r="120" spans="1:32" ht="20.25" customHeight="1">
      <c r="A120" s="64"/>
      <c r="B120" s="73"/>
      <c r="C120" s="74"/>
      <c r="D120" s="74"/>
      <c r="E120" s="74"/>
      <c r="F120" s="74"/>
      <c r="G120" s="74"/>
      <c r="H120" s="74"/>
      <c r="I120" s="74"/>
      <c r="J120" s="74"/>
      <c r="K120" s="74"/>
      <c r="L120" s="74"/>
      <c r="M120" s="74"/>
      <c r="N120" s="74"/>
      <c r="O120" s="64"/>
      <c r="P120" s="64"/>
      <c r="Q120" s="64"/>
      <c r="R120" s="64"/>
      <c r="S120" s="64"/>
      <c r="T120" s="64"/>
      <c r="U120" s="64"/>
      <c r="V120" s="64"/>
      <c r="W120" s="64"/>
      <c r="X120" s="64"/>
      <c r="Y120" s="64"/>
      <c r="Z120" s="64"/>
      <c r="AA120" s="64"/>
      <c r="AB120" s="64"/>
      <c r="AC120" s="64"/>
      <c r="AD120" s="64"/>
      <c r="AE120" s="64"/>
      <c r="AF120" s="118"/>
    </row>
    <row r="121" spans="1:32" ht="17.25" customHeight="1">
      <c r="A121" s="64"/>
      <c r="B121" s="109"/>
      <c r="C121" s="109"/>
      <c r="D121" s="109"/>
      <c r="E121" s="109"/>
      <c r="F121" s="109"/>
      <c r="G121" s="109"/>
      <c r="H121" s="109"/>
      <c r="I121" s="109"/>
      <c r="J121" s="109"/>
      <c r="K121" s="109"/>
      <c r="L121" s="109"/>
      <c r="M121" s="109"/>
      <c r="N121" s="64"/>
      <c r="O121" s="74"/>
      <c r="P121" s="74"/>
      <c r="Q121" s="74"/>
      <c r="R121" s="74"/>
      <c r="S121" s="74"/>
      <c r="T121" s="74"/>
      <c r="U121" s="74"/>
      <c r="V121" s="74"/>
      <c r="W121" s="74"/>
      <c r="X121" s="74"/>
      <c r="Y121" s="74"/>
      <c r="Z121" s="74"/>
      <c r="AA121" s="74"/>
      <c r="AB121" s="74"/>
      <c r="AC121" s="64"/>
      <c r="AD121" s="64"/>
      <c r="AE121" s="64"/>
      <c r="AF121" s="118"/>
    </row>
    <row r="122" spans="1:32" ht="25" customHeight="1">
      <c r="A122" s="74"/>
      <c r="B122" s="107"/>
      <c r="C122" s="110"/>
      <c r="D122" s="110"/>
      <c r="E122" s="110"/>
      <c r="F122" s="110"/>
      <c r="G122" s="110"/>
      <c r="H122" s="107"/>
      <c r="I122" s="107"/>
      <c r="J122" s="107"/>
      <c r="K122" s="107"/>
      <c r="L122" s="107"/>
      <c r="M122" s="107"/>
      <c r="N122" s="69"/>
      <c r="O122" s="74"/>
      <c r="P122" s="74"/>
      <c r="Q122" s="74"/>
      <c r="R122" s="74"/>
      <c r="S122" s="74"/>
      <c r="T122" s="74"/>
      <c r="U122" s="74"/>
      <c r="V122" s="74"/>
      <c r="W122" s="74"/>
      <c r="X122" s="74"/>
      <c r="Y122" s="74"/>
      <c r="Z122" s="74"/>
      <c r="AA122" s="74"/>
      <c r="AB122" s="74"/>
      <c r="AC122" s="64"/>
      <c r="AD122" s="64"/>
      <c r="AE122" s="74"/>
      <c r="AF122" s="118"/>
    </row>
    <row r="123" spans="1:32" ht="30" customHeight="1">
      <c r="A123" s="74"/>
      <c r="B123" s="76"/>
      <c r="C123" s="74"/>
      <c r="D123" s="74"/>
      <c r="E123" s="74"/>
      <c r="F123" s="74"/>
      <c r="G123" s="74"/>
      <c r="H123" s="69"/>
      <c r="I123" s="69"/>
      <c r="J123" s="69"/>
      <c r="K123" s="69"/>
      <c r="L123" s="69"/>
      <c r="M123" s="69"/>
      <c r="N123" s="69"/>
      <c r="O123" s="85"/>
      <c r="P123" s="85"/>
      <c r="Q123" s="85"/>
      <c r="R123" s="85"/>
      <c r="S123" s="85"/>
      <c r="T123" s="85"/>
      <c r="U123" s="85"/>
      <c r="V123" s="85"/>
      <c r="W123" s="85"/>
      <c r="X123" s="85"/>
      <c r="Y123" s="85"/>
      <c r="Z123" s="85"/>
      <c r="AA123" s="85"/>
      <c r="AB123" s="85"/>
      <c r="AC123" s="74"/>
      <c r="AD123" s="74"/>
      <c r="AE123" s="74"/>
      <c r="AF123" s="118"/>
    </row>
    <row r="124" spans="1:32" s="184" customFormat="1" ht="30" customHeight="1">
      <c r="A124" s="114"/>
      <c r="B124" s="73"/>
      <c r="C124" s="74"/>
      <c r="D124" s="74"/>
      <c r="E124" s="74"/>
      <c r="F124" s="74"/>
      <c r="G124" s="74"/>
      <c r="H124" s="74"/>
      <c r="I124" s="74"/>
      <c r="J124" s="74"/>
      <c r="K124" s="74"/>
      <c r="L124" s="74"/>
      <c r="M124" s="74"/>
      <c r="N124" s="74"/>
      <c r="O124" s="182"/>
      <c r="P124" s="182"/>
      <c r="Q124" s="182"/>
      <c r="R124" s="182"/>
      <c r="S124" s="182"/>
      <c r="T124" s="182"/>
      <c r="U124" s="182"/>
      <c r="V124" s="182"/>
      <c r="W124" s="182"/>
      <c r="X124" s="182"/>
      <c r="Y124" s="182"/>
      <c r="Z124" s="182"/>
      <c r="AA124" s="182"/>
      <c r="AB124" s="183"/>
      <c r="AC124" s="114"/>
      <c r="AD124" s="114"/>
      <c r="AE124" s="114"/>
      <c r="AF124" s="118"/>
    </row>
    <row r="125" spans="1:32" ht="30" customHeight="1">
      <c r="A125" s="82"/>
      <c r="B125" s="79"/>
      <c r="C125" s="79"/>
      <c r="D125" s="74"/>
      <c r="E125" s="79"/>
      <c r="F125" s="79"/>
      <c r="G125" s="79"/>
      <c r="H125" s="79"/>
      <c r="I125" s="79"/>
      <c r="J125" s="79"/>
      <c r="K125" s="79"/>
      <c r="L125" s="79"/>
      <c r="M125" s="79"/>
      <c r="N125" s="79"/>
      <c r="O125" s="185"/>
      <c r="P125" s="185"/>
      <c r="Q125" s="185"/>
      <c r="R125" s="185"/>
      <c r="S125" s="185"/>
      <c r="T125" s="186"/>
      <c r="U125" s="186"/>
      <c r="V125" s="186"/>
      <c r="W125" s="186"/>
      <c r="X125" s="186"/>
      <c r="Y125" s="186"/>
      <c r="Z125" s="186"/>
      <c r="AA125" s="186"/>
      <c r="AB125" s="187"/>
      <c r="AC125" s="82"/>
      <c r="AD125" s="82"/>
      <c r="AE125" s="82"/>
      <c r="AF125" s="118"/>
    </row>
    <row r="126" spans="1:32" ht="30" customHeight="1">
      <c r="A126" s="74"/>
      <c r="B126" s="73"/>
      <c r="C126" s="74"/>
      <c r="D126" s="74"/>
      <c r="E126" s="74"/>
      <c r="F126" s="74"/>
      <c r="G126" s="74"/>
      <c r="H126" s="74"/>
      <c r="I126" s="74"/>
      <c r="J126" s="74"/>
      <c r="K126" s="74"/>
      <c r="L126" s="74"/>
      <c r="M126" s="74"/>
      <c r="N126" s="74"/>
      <c r="O126" s="188"/>
      <c r="P126" s="188"/>
      <c r="Q126" s="188"/>
      <c r="R126" s="188"/>
      <c r="S126" s="188"/>
      <c r="T126" s="189"/>
      <c r="U126" s="189"/>
      <c r="V126" s="189"/>
      <c r="W126" s="189"/>
      <c r="X126" s="189"/>
      <c r="Y126" s="189"/>
      <c r="Z126" s="189"/>
      <c r="AA126" s="189"/>
      <c r="AB126" s="190"/>
      <c r="AC126" s="74"/>
      <c r="AD126" s="74"/>
      <c r="AE126" s="74"/>
      <c r="AF126" s="118"/>
    </row>
    <row r="127" spans="1:32" ht="30" customHeight="1">
      <c r="A127" s="74"/>
      <c r="B127" s="59"/>
      <c r="C127" s="64"/>
      <c r="D127" s="64"/>
      <c r="E127" s="64"/>
      <c r="F127" s="64"/>
      <c r="G127" s="64"/>
      <c r="H127" s="64"/>
      <c r="I127" s="64"/>
      <c r="J127" s="64"/>
      <c r="K127" s="64"/>
      <c r="L127" s="64"/>
      <c r="M127" s="64"/>
      <c r="N127" s="64"/>
      <c r="O127" s="188"/>
      <c r="P127" s="188"/>
      <c r="Q127" s="188"/>
      <c r="R127" s="188"/>
      <c r="S127" s="188"/>
      <c r="T127" s="189"/>
      <c r="U127" s="189"/>
      <c r="V127" s="189"/>
      <c r="W127" s="189"/>
      <c r="X127" s="189"/>
      <c r="Y127" s="189"/>
      <c r="Z127" s="189"/>
      <c r="AA127" s="189"/>
      <c r="AB127" s="190"/>
      <c r="AC127" s="74"/>
      <c r="AD127" s="74"/>
      <c r="AE127" s="74"/>
      <c r="AF127" s="118"/>
    </row>
    <row r="128" spans="1:32" ht="30" customHeight="1">
      <c r="A128" s="74"/>
      <c r="B128" s="59"/>
      <c r="C128" s="64"/>
      <c r="D128" s="64"/>
      <c r="E128" s="64"/>
      <c r="F128" s="64"/>
      <c r="G128" s="64"/>
      <c r="H128" s="64"/>
      <c r="I128" s="64"/>
      <c r="J128" s="64"/>
      <c r="K128" s="64"/>
      <c r="L128" s="64"/>
      <c r="M128" s="64"/>
      <c r="N128" s="64"/>
      <c r="O128" s="188"/>
      <c r="P128" s="188"/>
      <c r="Q128" s="188"/>
      <c r="R128" s="188"/>
      <c r="S128" s="188"/>
      <c r="T128" s="189"/>
      <c r="U128" s="189"/>
      <c r="V128" s="189"/>
      <c r="W128" s="189"/>
      <c r="X128" s="189"/>
      <c r="Y128" s="189"/>
      <c r="Z128" s="189"/>
      <c r="AA128" s="189"/>
      <c r="AB128" s="190"/>
      <c r="AC128" s="74"/>
      <c r="AD128" s="74"/>
      <c r="AE128" s="74"/>
      <c r="AF128" s="118"/>
    </row>
    <row r="129" spans="1:32" ht="30" customHeight="1">
      <c r="A129" s="64"/>
      <c r="B129" s="59"/>
      <c r="C129" s="64"/>
      <c r="D129" s="64"/>
      <c r="E129" s="64"/>
      <c r="F129" s="64"/>
      <c r="G129" s="64"/>
      <c r="H129" s="64"/>
      <c r="I129" s="64"/>
      <c r="J129" s="64"/>
      <c r="K129" s="64"/>
      <c r="L129" s="64"/>
      <c r="M129" s="64"/>
      <c r="N129" s="64"/>
      <c r="O129" s="188"/>
      <c r="P129" s="188"/>
      <c r="Q129" s="188"/>
      <c r="R129" s="188"/>
      <c r="S129" s="188"/>
      <c r="T129" s="189"/>
      <c r="U129" s="189"/>
      <c r="V129" s="189"/>
      <c r="W129" s="189"/>
      <c r="X129" s="189"/>
      <c r="Y129" s="189"/>
      <c r="Z129" s="189"/>
      <c r="AA129" s="189"/>
      <c r="AB129" s="190"/>
      <c r="AC129" s="64"/>
      <c r="AD129" s="64"/>
      <c r="AE129" s="64"/>
      <c r="AF129" s="118"/>
    </row>
    <row r="130" spans="1:32" ht="30" customHeight="1">
      <c r="A130" s="64"/>
      <c r="B130" s="59"/>
      <c r="C130" s="64"/>
      <c r="D130" s="64"/>
      <c r="E130" s="64"/>
      <c r="F130" s="64"/>
      <c r="G130" s="64"/>
      <c r="H130" s="74"/>
      <c r="I130" s="74"/>
      <c r="J130" s="74"/>
      <c r="K130" s="74"/>
      <c r="L130" s="74"/>
      <c r="M130" s="74"/>
      <c r="N130" s="74"/>
      <c r="O130" s="185"/>
      <c r="P130" s="185"/>
      <c r="Q130" s="185"/>
      <c r="R130" s="185"/>
      <c r="S130" s="185"/>
      <c r="T130" s="185"/>
      <c r="U130" s="185"/>
      <c r="V130" s="185"/>
      <c r="W130" s="185"/>
      <c r="X130" s="185"/>
      <c r="Y130" s="185"/>
      <c r="Z130" s="185"/>
      <c r="AA130" s="185"/>
      <c r="AB130" s="191"/>
      <c r="AC130" s="64"/>
      <c r="AD130" s="64"/>
      <c r="AE130" s="64"/>
      <c r="AF130" s="118"/>
    </row>
    <row r="131" spans="1:32" ht="20.25" customHeight="1">
      <c r="A131" s="64"/>
      <c r="B131" s="112"/>
      <c r="C131" s="74"/>
      <c r="D131" s="74"/>
      <c r="E131" s="74"/>
      <c r="F131" s="74"/>
      <c r="G131" s="74"/>
      <c r="H131" s="74"/>
      <c r="I131" s="74"/>
      <c r="J131" s="74"/>
      <c r="K131" s="74"/>
      <c r="L131" s="74"/>
      <c r="M131" s="74"/>
      <c r="N131" s="74"/>
      <c r="O131" s="64"/>
      <c r="P131" s="64"/>
      <c r="Q131" s="64"/>
      <c r="R131" s="64"/>
      <c r="S131" s="64"/>
      <c r="T131" s="64"/>
      <c r="U131" s="64"/>
      <c r="V131" s="64"/>
      <c r="W131" s="64"/>
      <c r="X131" s="64"/>
      <c r="Y131" s="64"/>
      <c r="Z131" s="64"/>
      <c r="AA131" s="64"/>
      <c r="AB131" s="64"/>
      <c r="AC131" s="64"/>
      <c r="AD131" s="64"/>
      <c r="AE131" s="64"/>
      <c r="AF131" s="118"/>
    </row>
    <row r="132" spans="1:32" ht="20.25" customHeight="1">
      <c r="A132" s="64"/>
      <c r="B132" s="113"/>
      <c r="C132" s="84"/>
      <c r="D132" s="84"/>
      <c r="E132" s="84"/>
      <c r="F132" s="84"/>
      <c r="G132" s="84"/>
      <c r="H132" s="85"/>
      <c r="I132" s="85"/>
      <c r="J132" s="85"/>
      <c r="K132" s="85"/>
      <c r="L132" s="85"/>
      <c r="M132" s="85"/>
      <c r="N132" s="85"/>
      <c r="O132" s="64"/>
      <c r="P132" s="64"/>
      <c r="Q132" s="64"/>
      <c r="R132" s="64"/>
      <c r="S132" s="64"/>
      <c r="T132" s="64"/>
      <c r="U132" s="64"/>
      <c r="V132" s="64"/>
      <c r="W132" s="64"/>
      <c r="X132" s="64"/>
      <c r="Y132" s="64"/>
      <c r="Z132" s="64"/>
      <c r="AA132" s="64"/>
      <c r="AB132" s="64"/>
      <c r="AC132" s="64"/>
      <c r="AD132" s="64"/>
      <c r="AE132" s="64"/>
      <c r="AF132" s="118"/>
    </row>
    <row r="133" spans="1:32" ht="20.25" customHeight="1">
      <c r="A133" s="64"/>
      <c r="B133" s="182"/>
      <c r="C133" s="182"/>
      <c r="D133" s="182"/>
      <c r="E133" s="182"/>
      <c r="F133" s="182"/>
      <c r="G133" s="182"/>
      <c r="H133" s="182"/>
      <c r="I133" s="182"/>
      <c r="J133" s="182"/>
      <c r="K133" s="182"/>
      <c r="L133" s="182"/>
      <c r="M133" s="182"/>
      <c r="N133" s="182"/>
      <c r="O133" s="64"/>
      <c r="P133" s="64"/>
      <c r="Q133" s="64"/>
      <c r="R133" s="64"/>
      <c r="S133" s="74"/>
      <c r="T133" s="74"/>
      <c r="U133" s="74"/>
      <c r="V133" s="74"/>
      <c r="W133" s="74"/>
      <c r="X133" s="74"/>
      <c r="Y133" s="74"/>
      <c r="Z133" s="74"/>
      <c r="AA133" s="64"/>
      <c r="AB133" s="64"/>
      <c r="AC133" s="64"/>
      <c r="AD133" s="64"/>
      <c r="AE133" s="64"/>
      <c r="AF133" s="118"/>
    </row>
    <row r="134" spans="1:32" ht="20.25" customHeight="1">
      <c r="A134" s="74"/>
      <c r="B134" s="192"/>
      <c r="C134" s="192"/>
      <c r="D134" s="192"/>
      <c r="E134" s="192"/>
      <c r="F134" s="192"/>
      <c r="G134" s="192"/>
      <c r="H134" s="192"/>
      <c r="I134" s="192"/>
      <c r="J134" s="192"/>
      <c r="K134" s="192"/>
      <c r="L134" s="185"/>
      <c r="M134" s="185"/>
      <c r="N134" s="185"/>
      <c r="O134" s="64"/>
      <c r="P134" s="64"/>
      <c r="Q134" s="64"/>
      <c r="R134" s="64"/>
      <c r="S134" s="74"/>
      <c r="T134" s="74"/>
      <c r="U134" s="74"/>
      <c r="V134" s="74"/>
      <c r="W134" s="74"/>
      <c r="X134" s="74"/>
      <c r="Y134" s="74"/>
      <c r="Z134" s="74"/>
      <c r="AA134" s="74"/>
      <c r="AB134" s="74"/>
      <c r="AC134" s="74"/>
      <c r="AD134" s="85"/>
      <c r="AE134" s="85"/>
      <c r="AF134" s="118"/>
    </row>
    <row r="135" spans="1:32" ht="25" customHeight="1">
      <c r="A135" s="74"/>
      <c r="B135" s="193"/>
      <c r="C135" s="193"/>
      <c r="D135" s="193"/>
      <c r="E135" s="193"/>
      <c r="F135" s="193"/>
      <c r="G135" s="193"/>
      <c r="H135" s="193"/>
      <c r="I135" s="193"/>
      <c r="J135" s="193"/>
      <c r="K135" s="193"/>
      <c r="L135" s="188"/>
      <c r="M135" s="188"/>
      <c r="N135" s="188"/>
      <c r="O135" s="64"/>
      <c r="P135" s="64"/>
      <c r="Q135" s="64"/>
      <c r="R135" s="64"/>
      <c r="S135" s="64"/>
      <c r="T135" s="64"/>
      <c r="U135" s="64"/>
      <c r="V135" s="64"/>
      <c r="W135" s="64"/>
      <c r="X135" s="64"/>
      <c r="Y135" s="64"/>
      <c r="Z135" s="64"/>
      <c r="AA135" s="74"/>
      <c r="AB135" s="74"/>
      <c r="AC135" s="74"/>
      <c r="AD135" s="87"/>
      <c r="AE135" s="87"/>
      <c r="AF135" s="118"/>
    </row>
    <row r="136" spans="1:32" ht="22" customHeight="1">
      <c r="A136" s="69"/>
      <c r="B136" s="193"/>
      <c r="C136" s="193"/>
      <c r="D136" s="193"/>
      <c r="E136" s="193"/>
      <c r="F136" s="193"/>
      <c r="G136" s="193"/>
      <c r="H136" s="193"/>
      <c r="I136" s="193"/>
      <c r="J136" s="193"/>
      <c r="K136" s="193"/>
      <c r="L136" s="188"/>
      <c r="M136" s="188"/>
      <c r="N136" s="188"/>
      <c r="O136" s="89"/>
      <c r="P136" s="89"/>
      <c r="Q136" s="89"/>
      <c r="R136" s="89"/>
      <c r="S136" s="89"/>
      <c r="T136" s="89"/>
      <c r="U136" s="89"/>
      <c r="V136" s="89"/>
      <c r="W136" s="89"/>
      <c r="X136" s="89"/>
      <c r="Y136" s="89"/>
      <c r="Z136" s="89"/>
      <c r="AA136" s="69"/>
      <c r="AB136" s="69"/>
      <c r="AC136" s="69"/>
      <c r="AD136" s="69"/>
      <c r="AE136" s="69"/>
      <c r="AF136" s="118"/>
    </row>
    <row r="137" spans="1:32" ht="22" customHeight="1">
      <c r="A137" s="69"/>
      <c r="B137" s="193"/>
      <c r="C137" s="193"/>
      <c r="D137" s="193"/>
      <c r="E137" s="193"/>
      <c r="F137" s="193"/>
      <c r="G137" s="193"/>
      <c r="H137" s="193"/>
      <c r="I137" s="193"/>
      <c r="J137" s="193"/>
      <c r="K137" s="193"/>
      <c r="L137" s="188"/>
      <c r="M137" s="188"/>
      <c r="N137" s="188"/>
      <c r="O137" s="64"/>
      <c r="P137" s="64"/>
      <c r="Q137" s="64"/>
      <c r="R137" s="64"/>
      <c r="S137" s="74"/>
      <c r="T137" s="74"/>
      <c r="U137" s="74"/>
      <c r="V137" s="74"/>
      <c r="W137" s="74"/>
      <c r="X137" s="74"/>
      <c r="Y137" s="74"/>
      <c r="Z137" s="74"/>
      <c r="AA137" s="69"/>
      <c r="AB137" s="69"/>
      <c r="AC137" s="69"/>
      <c r="AD137" s="74"/>
      <c r="AE137" s="74"/>
      <c r="AF137" s="118"/>
    </row>
    <row r="138" spans="1:32" ht="22" customHeight="1">
      <c r="A138" s="69"/>
      <c r="B138" s="182"/>
      <c r="C138" s="182"/>
      <c r="D138" s="182"/>
      <c r="E138" s="182"/>
      <c r="F138" s="182"/>
      <c r="G138" s="182"/>
      <c r="H138" s="182"/>
      <c r="I138" s="182"/>
      <c r="J138" s="182"/>
      <c r="K138" s="182"/>
      <c r="L138" s="188"/>
      <c r="M138" s="188"/>
      <c r="N138" s="188"/>
      <c r="O138" s="64"/>
      <c r="P138" s="64"/>
      <c r="Q138" s="64"/>
      <c r="R138" s="64"/>
      <c r="S138" s="74"/>
      <c r="T138" s="74"/>
      <c r="U138" s="74"/>
      <c r="V138" s="74"/>
      <c r="W138" s="74"/>
      <c r="X138" s="74"/>
      <c r="Y138" s="74"/>
      <c r="Z138" s="74"/>
      <c r="AA138" s="69"/>
      <c r="AB138" s="69"/>
      <c r="AC138" s="69"/>
      <c r="AD138" s="74"/>
      <c r="AE138" s="74"/>
      <c r="AF138" s="118"/>
    </row>
    <row r="139" spans="1:32" ht="22" customHeight="1">
      <c r="A139" s="69"/>
      <c r="B139" s="182"/>
      <c r="C139" s="182"/>
      <c r="D139" s="182"/>
      <c r="E139" s="182"/>
      <c r="F139" s="182"/>
      <c r="G139" s="182"/>
      <c r="H139" s="182"/>
      <c r="I139" s="182"/>
      <c r="J139" s="182"/>
      <c r="K139" s="182"/>
      <c r="L139" s="185"/>
      <c r="M139" s="185"/>
      <c r="N139" s="185"/>
      <c r="O139" s="64"/>
      <c r="P139" s="64"/>
      <c r="Q139" s="64"/>
      <c r="R139" s="64"/>
      <c r="S139" s="74"/>
      <c r="T139" s="74"/>
      <c r="U139" s="74"/>
      <c r="V139" s="74"/>
      <c r="W139" s="74"/>
      <c r="X139" s="74"/>
      <c r="Y139" s="74"/>
      <c r="Z139" s="74"/>
      <c r="AA139" s="69"/>
      <c r="AB139" s="69"/>
      <c r="AC139" s="69"/>
      <c r="AD139" s="74"/>
      <c r="AE139" s="74"/>
      <c r="AF139" s="118"/>
    </row>
    <row r="140" spans="1:32" ht="22" customHeight="1">
      <c r="A140" s="69"/>
      <c r="B140" s="64"/>
      <c r="C140" s="64"/>
      <c r="D140" s="64"/>
      <c r="E140" s="64"/>
      <c r="F140" s="64"/>
      <c r="G140" s="64"/>
      <c r="H140" s="64"/>
      <c r="I140" s="64"/>
      <c r="J140" s="64"/>
      <c r="K140" s="64"/>
      <c r="L140" s="64"/>
      <c r="M140" s="64"/>
      <c r="N140" s="64"/>
      <c r="O140" s="64"/>
      <c r="P140" s="64"/>
      <c r="Q140" s="64"/>
      <c r="R140" s="64"/>
      <c r="S140" s="74"/>
      <c r="T140" s="74"/>
      <c r="U140" s="74"/>
      <c r="V140" s="74"/>
      <c r="W140" s="74"/>
      <c r="X140" s="74"/>
      <c r="Y140" s="74"/>
      <c r="Z140" s="74"/>
      <c r="AA140" s="69"/>
      <c r="AB140" s="69"/>
      <c r="AC140" s="69"/>
      <c r="AD140" s="74"/>
      <c r="AE140" s="74"/>
      <c r="AF140" s="118"/>
    </row>
    <row r="141" spans="1:32" ht="24">
      <c r="B141" s="109"/>
      <c r="C141" s="64"/>
      <c r="D141" s="64"/>
      <c r="E141" s="64"/>
      <c r="F141" s="64"/>
      <c r="G141" s="64"/>
      <c r="H141" s="64"/>
      <c r="I141" s="64"/>
      <c r="J141" s="64"/>
      <c r="K141" s="64"/>
      <c r="L141" s="64"/>
      <c r="M141" s="64"/>
      <c r="N141" s="64"/>
    </row>
    <row r="142" spans="1:32" ht="24">
      <c r="B142" s="108"/>
      <c r="C142" s="64"/>
      <c r="D142" s="64"/>
      <c r="E142" s="64"/>
      <c r="F142" s="64"/>
      <c r="G142" s="64"/>
      <c r="H142" s="64"/>
      <c r="I142" s="64"/>
      <c r="J142" s="64"/>
      <c r="K142" s="64"/>
      <c r="L142" s="64"/>
      <c r="M142" s="64"/>
      <c r="N142" s="64"/>
    </row>
    <row r="143" spans="1:32" ht="24">
      <c r="B143" s="108"/>
      <c r="C143" s="74"/>
      <c r="D143" s="74"/>
      <c r="E143" s="74"/>
      <c r="F143" s="74"/>
      <c r="G143" s="74"/>
      <c r="H143" s="74"/>
      <c r="I143" s="74"/>
      <c r="J143" s="74"/>
      <c r="K143" s="64"/>
      <c r="L143" s="64"/>
      <c r="M143" s="64"/>
      <c r="N143" s="64"/>
    </row>
    <row r="144" spans="1:32" ht="24">
      <c r="B144" s="110"/>
      <c r="C144" s="74"/>
      <c r="D144" s="74"/>
      <c r="E144" s="74"/>
      <c r="F144" s="74"/>
      <c r="G144" s="74"/>
      <c r="H144" s="74"/>
      <c r="I144" s="74"/>
      <c r="J144" s="74"/>
      <c r="K144" s="64"/>
      <c r="L144" s="64"/>
      <c r="M144" s="64"/>
      <c r="N144" s="64"/>
    </row>
    <row r="145" spans="2:14" ht="24">
      <c r="B145" s="108"/>
      <c r="C145" s="90"/>
      <c r="D145" s="90"/>
      <c r="E145" s="90"/>
      <c r="F145" s="90"/>
      <c r="G145" s="90"/>
      <c r="H145" s="69"/>
      <c r="I145" s="69"/>
      <c r="J145" s="69"/>
      <c r="K145" s="89"/>
      <c r="L145" s="89"/>
      <c r="M145" s="89"/>
      <c r="N145" s="89"/>
    </row>
    <row r="146" spans="2:14" ht="24">
      <c r="B146" s="107"/>
      <c r="C146" s="74"/>
      <c r="D146" s="74"/>
      <c r="E146" s="74"/>
      <c r="F146" s="74"/>
      <c r="G146" s="74"/>
      <c r="H146" s="74"/>
      <c r="I146" s="74"/>
      <c r="J146" s="74"/>
      <c r="K146" s="64"/>
      <c r="L146" s="64"/>
      <c r="M146" s="64"/>
      <c r="N146" s="64"/>
    </row>
    <row r="147" spans="2:14" ht="19">
      <c r="B147" s="69"/>
      <c r="C147" s="74"/>
      <c r="D147" s="74"/>
      <c r="E147" s="74"/>
      <c r="F147" s="74"/>
      <c r="G147" s="74"/>
      <c r="H147" s="74"/>
      <c r="I147" s="74"/>
      <c r="J147" s="74"/>
      <c r="K147" s="64"/>
      <c r="L147" s="64"/>
      <c r="M147" s="64"/>
      <c r="N147" s="64"/>
    </row>
    <row r="148" spans="2:14" ht="19">
      <c r="B148" s="69"/>
      <c r="C148" s="74"/>
      <c r="D148" s="74"/>
      <c r="E148" s="74"/>
      <c r="F148" s="74"/>
      <c r="G148" s="74"/>
      <c r="H148" s="74"/>
      <c r="I148" s="74"/>
      <c r="J148" s="74"/>
      <c r="K148" s="64"/>
      <c r="L148" s="64"/>
      <c r="M148" s="64"/>
      <c r="N148" s="64"/>
    </row>
    <row r="149" spans="2:14" ht="19">
      <c r="B149" s="69"/>
      <c r="C149" s="74"/>
      <c r="D149" s="74"/>
      <c r="E149" s="74"/>
      <c r="F149" s="74"/>
      <c r="G149" s="74"/>
      <c r="H149" s="74"/>
      <c r="I149" s="74"/>
      <c r="J149" s="74"/>
      <c r="K149" s="64"/>
      <c r="L149" s="64"/>
      <c r="M149" s="64"/>
      <c r="N149" s="64"/>
    </row>
    <row r="268" spans="18:18">
      <c r="R268" s="119" t="s">
        <v>57</v>
      </c>
    </row>
    <row r="277" spans="10:10">
      <c r="J277" s="119" t="s">
        <v>57</v>
      </c>
    </row>
    <row r="330" ht="19.5" customHeight="1"/>
    <row r="348" spans="32:33">
      <c r="AF348" s="194">
        <v>0.91759999999999997</v>
      </c>
      <c r="AG348" s="194">
        <v>0.84940000000000004</v>
      </c>
    </row>
    <row r="349" spans="32:33">
      <c r="AG349" s="195">
        <v>1</v>
      </c>
    </row>
    <row r="355" spans="32:33">
      <c r="AF355" s="194">
        <v>0.91210000000000002</v>
      </c>
      <c r="AG355" s="194">
        <v>0.89339999999999997</v>
      </c>
    </row>
    <row r="356" spans="32:33">
      <c r="AG356" s="194">
        <v>0.68500000000000005</v>
      </c>
    </row>
    <row r="455" hidden="1"/>
    <row r="456" hidden="1"/>
    <row r="457" hidden="1"/>
    <row r="458" hidden="1"/>
    <row r="459" hidden="1"/>
    <row r="460" hidden="1"/>
    <row r="461" hidden="1"/>
    <row r="462" hidden="1"/>
    <row r="463" hidden="1"/>
    <row r="464" hidden="1"/>
    <row r="465" hidden="1"/>
    <row r="466" hidden="1"/>
    <row r="467" hidden="1"/>
    <row r="468" hidden="1"/>
  </sheetData>
  <mergeCells count="10">
    <mergeCell ref="A27:P27"/>
    <mergeCell ref="A29:P29"/>
    <mergeCell ref="A1:C1"/>
    <mergeCell ref="D1:P2"/>
    <mergeCell ref="A2:C2"/>
    <mergeCell ref="A3:C3"/>
    <mergeCell ref="A4:C4"/>
    <mergeCell ref="A5:C5"/>
    <mergeCell ref="L5:P6"/>
    <mergeCell ref="A6:C6"/>
  </mergeCells>
  <pageMargins left="0.7" right="0.7" top="0.75" bottom="0.75" header="0.3" footer="0.3"/>
  <pageSetup paperSize="9" scale="47"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29D0-1696-9144-B587-A8CD1FE81D31}">
  <sheetPr>
    <tabColor rgb="FF00B050"/>
  </sheetPr>
  <dimension ref="A1:EH67"/>
  <sheetViews>
    <sheetView view="pageBreakPreview" topLeftCell="AE12" zoomScale="135" zoomScaleNormal="75" zoomScaleSheetLayoutView="87" workbookViewId="0">
      <selection activeCell="AI31" sqref="AI31"/>
    </sheetView>
  </sheetViews>
  <sheetFormatPr baseColWidth="10" defaultRowHeight="13"/>
  <cols>
    <col min="1" max="1" width="10.83203125" style="550"/>
    <col min="2" max="2" width="32.1640625" style="550" customWidth="1"/>
    <col min="3" max="3" width="6.1640625" style="550" customWidth="1"/>
    <col min="4" max="4" width="98.6640625" style="550" customWidth="1"/>
    <col min="5" max="7" width="10.83203125" style="550"/>
    <col min="8" max="30" width="20.83203125" style="550" customWidth="1"/>
    <col min="31" max="31" width="14.1640625" style="550" customWidth="1"/>
    <col min="32" max="47" width="10.83203125" style="550"/>
    <col min="48" max="48" width="5.33203125" style="550" customWidth="1"/>
    <col min="49" max="49" width="3.6640625" style="550" customWidth="1"/>
    <col min="50" max="50" width="3" style="550" customWidth="1"/>
    <col min="51" max="51" width="3.83203125" style="550" customWidth="1"/>
    <col min="52" max="52" width="8.6640625" style="550" customWidth="1"/>
    <col min="53" max="53" width="2.5" style="550" customWidth="1"/>
    <col min="54" max="54" width="4.83203125" style="550" customWidth="1"/>
    <col min="55" max="55" width="3.5" style="550" customWidth="1"/>
    <col min="56" max="16384" width="10.83203125" style="550"/>
  </cols>
  <sheetData>
    <row r="1" spans="1:138" ht="23">
      <c r="A1" s="554"/>
      <c r="B1" s="555"/>
      <c r="C1" s="555"/>
      <c r="D1" s="555"/>
      <c r="E1" s="556"/>
      <c r="F1" s="557"/>
      <c r="G1" s="558"/>
      <c r="H1" s="559"/>
      <c r="I1" s="560"/>
      <c r="J1" s="561"/>
      <c r="K1" s="559"/>
      <c r="L1" s="560"/>
      <c r="M1" s="561"/>
      <c r="N1" s="561"/>
      <c r="O1" s="559"/>
      <c r="P1" s="560"/>
      <c r="Q1" s="561"/>
      <c r="R1" s="560"/>
      <c r="S1" s="559"/>
      <c r="T1" s="562"/>
      <c r="U1" s="561"/>
      <c r="V1" s="561"/>
      <c r="W1" s="561"/>
      <c r="X1" s="560"/>
      <c r="Y1" s="561"/>
      <c r="Z1" s="563"/>
      <c r="AA1" s="563"/>
      <c r="AB1" s="563"/>
      <c r="AC1" s="563"/>
      <c r="AD1" s="563"/>
      <c r="AE1" s="564"/>
      <c r="AF1" s="2"/>
      <c r="AG1" s="1"/>
      <c r="AH1" s="1"/>
      <c r="AI1" s="1"/>
      <c r="AJ1" s="1"/>
      <c r="AK1" s="1"/>
      <c r="AL1" s="1"/>
      <c r="AM1" s="1"/>
      <c r="AN1" s="1"/>
      <c r="AO1" s="1"/>
      <c r="AP1" s="1"/>
      <c r="AQ1" s="3"/>
      <c r="AR1" s="1"/>
      <c r="AS1" s="1"/>
      <c r="AT1" s="1"/>
      <c r="AU1" s="3"/>
      <c r="BE1" s="23"/>
      <c r="BF1" s="216"/>
      <c r="BG1" s="217"/>
      <c r="BH1" s="212"/>
      <c r="BI1" s="211"/>
      <c r="BJ1" s="212"/>
      <c r="BL1" s="210"/>
      <c r="BM1" s="213"/>
      <c r="BN1" s="213"/>
      <c r="BO1" s="214"/>
      <c r="BP1" s="210"/>
      <c r="BQ1" s="215"/>
      <c r="BR1" s="210"/>
      <c r="BS1" s="210"/>
      <c r="BT1" s="210"/>
      <c r="BU1" s="213"/>
      <c r="BV1" s="213"/>
      <c r="BW1" s="213"/>
      <c r="BX1" s="210"/>
      <c r="BY1" s="215"/>
      <c r="BZ1" s="210"/>
      <c r="CA1" s="210"/>
      <c r="CB1" s="210"/>
      <c r="CC1" s="213"/>
      <c r="CD1" s="213"/>
      <c r="CE1" s="213"/>
    </row>
    <row r="2" spans="1:138" ht="25">
      <c r="A2" s="565"/>
      <c r="B2" s="566"/>
      <c r="C2" s="566"/>
      <c r="D2" s="566"/>
      <c r="E2" s="566"/>
      <c r="F2" s="566"/>
      <c r="G2" s="566"/>
      <c r="H2" s="566"/>
      <c r="I2" s="566"/>
      <c r="J2" s="1013" t="s">
        <v>111</v>
      </c>
      <c r="K2" s="1013"/>
      <c r="L2" s="1013"/>
      <c r="M2" s="1013"/>
      <c r="N2" s="1013"/>
      <c r="O2" s="566"/>
      <c r="P2" s="566"/>
      <c r="Q2" s="566"/>
      <c r="R2" s="566"/>
      <c r="S2" s="566"/>
      <c r="T2" s="566"/>
      <c r="U2" s="566"/>
      <c r="V2" s="566"/>
      <c r="W2" s="566"/>
      <c r="X2" s="566"/>
      <c r="Y2" s="566"/>
      <c r="Z2" s="566"/>
      <c r="AA2" s="566"/>
      <c r="AB2" s="566"/>
      <c r="AC2" s="566"/>
      <c r="AD2" s="566"/>
      <c r="AE2" s="568"/>
      <c r="AF2" s="24"/>
      <c r="AG2" s="24"/>
      <c r="AH2" s="24"/>
      <c r="AI2" s="24"/>
      <c r="AJ2" s="24"/>
      <c r="AK2" s="24"/>
      <c r="AL2" s="24"/>
      <c r="AM2" s="24"/>
      <c r="AN2" s="24"/>
      <c r="AO2" s="24"/>
      <c r="AP2" s="24"/>
      <c r="AQ2" s="25"/>
      <c r="AR2" s="24"/>
      <c r="AS2" s="24"/>
      <c r="AT2" s="24"/>
      <c r="AU2" s="25"/>
      <c r="BE2" s="219"/>
      <c r="BF2" s="220"/>
      <c r="BG2" s="211"/>
      <c r="BH2" s="212"/>
      <c r="BI2" s="211"/>
      <c r="BJ2" s="212"/>
      <c r="BL2" s="16"/>
      <c r="BP2" s="218"/>
      <c r="BQ2" s="218"/>
      <c r="BR2" s="218"/>
      <c r="BS2" s="16"/>
      <c r="BT2" s="16"/>
      <c r="BU2" s="16"/>
      <c r="BV2" s="16"/>
      <c r="BW2" s="16"/>
      <c r="BX2" s="218"/>
      <c r="BY2" s="218"/>
      <c r="BZ2" s="218"/>
      <c r="CA2" s="16"/>
      <c r="CB2" s="16"/>
      <c r="CC2" s="16"/>
      <c r="CD2" s="16"/>
      <c r="CE2" s="16"/>
    </row>
    <row r="3" spans="1:138" ht="20">
      <c r="A3" s="565"/>
      <c r="B3" s="566"/>
      <c r="C3" s="566"/>
      <c r="D3" s="566"/>
      <c r="E3" s="566"/>
      <c r="F3" s="566"/>
      <c r="G3" s="566"/>
      <c r="H3" s="566"/>
      <c r="I3" s="566"/>
      <c r="J3" s="1013"/>
      <c r="K3" s="1013"/>
      <c r="L3" s="1013"/>
      <c r="M3" s="1013"/>
      <c r="N3" s="1013"/>
      <c r="O3" s="566"/>
      <c r="P3" s="566"/>
      <c r="Q3" s="566"/>
      <c r="R3" s="566"/>
      <c r="S3" s="566"/>
      <c r="T3" s="566"/>
      <c r="U3" s="566"/>
      <c r="V3" s="566"/>
      <c r="W3" s="566"/>
      <c r="X3" s="566"/>
      <c r="Y3" s="566"/>
      <c r="Z3" s="566"/>
      <c r="AA3" s="566"/>
      <c r="AB3" s="566"/>
      <c r="AC3" s="566"/>
      <c r="AD3" s="566"/>
      <c r="AE3" s="568"/>
      <c r="AF3" s="26"/>
      <c r="AG3" s="26"/>
      <c r="AH3" s="26"/>
      <c r="AI3" s="26"/>
      <c r="AJ3" s="26"/>
      <c r="AK3" s="26"/>
      <c r="AL3" s="26"/>
      <c r="AM3" s="26"/>
      <c r="AN3" s="26"/>
      <c r="AO3" s="26"/>
      <c r="AP3" s="26"/>
      <c r="AQ3" s="27"/>
      <c r="AR3" s="26"/>
      <c r="AS3" s="26"/>
      <c r="AT3" s="26"/>
      <c r="AU3" s="27"/>
      <c r="BE3" s="16"/>
      <c r="BF3" s="16"/>
      <c r="BG3" s="211"/>
      <c r="BH3" s="212"/>
      <c r="BI3" s="211"/>
      <c r="BJ3" s="212"/>
      <c r="BL3" s="16"/>
      <c r="BM3" s="16"/>
      <c r="BN3" s="16"/>
      <c r="BO3" s="218"/>
      <c r="BP3" s="221"/>
      <c r="BQ3" s="218"/>
      <c r="BR3" s="218"/>
      <c r="BS3" s="16"/>
      <c r="BT3" s="16"/>
      <c r="BU3" s="16"/>
      <c r="BV3" s="16"/>
      <c r="BW3" s="16"/>
      <c r="BX3" s="221"/>
      <c r="BY3" s="218"/>
      <c r="BZ3" s="218"/>
      <c r="CA3" s="16"/>
      <c r="CB3" s="16"/>
      <c r="CC3" s="16"/>
      <c r="CD3" s="16"/>
      <c r="CE3" s="16"/>
    </row>
    <row r="4" spans="1:138" ht="17" thickBot="1">
      <c r="A4" s="569"/>
      <c r="B4" s="570" t="s">
        <v>2</v>
      </c>
      <c r="C4" s="567" t="s">
        <v>29</v>
      </c>
      <c r="D4" s="571" t="s">
        <v>152</v>
      </c>
      <c r="E4" s="572"/>
      <c r="F4" s="573"/>
      <c r="G4" s="574"/>
      <c r="H4" s="575"/>
      <c r="I4" s="576"/>
      <c r="J4" s="577"/>
      <c r="K4" s="575"/>
      <c r="L4" s="576"/>
      <c r="M4" s="577"/>
      <c r="N4" s="577"/>
      <c r="O4" s="578"/>
      <c r="P4" s="579"/>
      <c r="Q4" s="580"/>
      <c r="R4" s="579"/>
      <c r="S4" s="581"/>
      <c r="T4" s="582"/>
      <c r="U4" s="580"/>
      <c r="V4" s="580"/>
      <c r="W4" s="583"/>
      <c r="X4" s="582"/>
      <c r="Y4" s="580"/>
      <c r="Z4" s="571"/>
      <c r="AA4" s="571"/>
      <c r="AB4" s="584"/>
      <c r="AC4" s="585"/>
      <c r="AD4" s="571"/>
      <c r="AE4" s="586"/>
      <c r="AF4" s="16"/>
      <c r="AG4" s="4"/>
      <c r="AH4" s="16"/>
      <c r="AI4" s="16"/>
      <c r="AJ4" s="16"/>
      <c r="AK4" s="16"/>
      <c r="AL4" s="16"/>
      <c r="AM4" s="16"/>
      <c r="AN4" s="4" t="s">
        <v>38</v>
      </c>
      <c r="AO4" s="28">
        <v>0</v>
      </c>
      <c r="AP4" s="16"/>
      <c r="AQ4" s="7"/>
      <c r="AR4" s="6"/>
      <c r="AS4" s="6"/>
      <c r="AT4" s="6"/>
      <c r="AU4" s="7"/>
      <c r="BE4" s="16"/>
      <c r="BF4" s="18"/>
      <c r="BG4" s="211"/>
      <c r="BH4" s="212"/>
      <c r="BI4" s="211"/>
      <c r="BJ4" s="212"/>
      <c r="BL4" s="16"/>
      <c r="BM4" s="16"/>
      <c r="BN4" s="16"/>
      <c r="BO4" s="15"/>
      <c r="BP4" s="222"/>
      <c r="BQ4" s="223"/>
      <c r="BR4" s="16"/>
      <c r="BS4" s="16"/>
      <c r="BT4" s="16"/>
      <c r="BU4" s="16"/>
      <c r="BV4" s="16"/>
      <c r="BW4" s="16"/>
      <c r="BX4" s="222"/>
      <c r="BY4" s="223"/>
      <c r="BZ4" s="16"/>
      <c r="CA4" s="16"/>
      <c r="CB4" s="16"/>
      <c r="CC4" s="16"/>
      <c r="CD4" s="16"/>
      <c r="CE4" s="16"/>
    </row>
    <row r="5" spans="1:138" ht="18" thickTop="1" thickBot="1">
      <c r="A5" s="569"/>
      <c r="B5" s="570" t="s">
        <v>3</v>
      </c>
      <c r="C5" s="567" t="s">
        <v>29</v>
      </c>
      <c r="D5" s="571" t="str">
        <f>'Cover Report'!Z1</f>
        <v>Integrated Management Dashboard Production &amp; Project Zona 13</v>
      </c>
      <c r="E5" s="572"/>
      <c r="F5" s="573"/>
      <c r="G5" s="574"/>
      <c r="H5" s="587"/>
      <c r="I5" s="588"/>
      <c r="J5" s="589"/>
      <c r="K5" s="590"/>
      <c r="L5" s="591"/>
      <c r="M5" s="589"/>
      <c r="N5" s="589"/>
      <c r="O5" s="578"/>
      <c r="P5" s="579"/>
      <c r="Q5" s="580"/>
      <c r="R5" s="579"/>
      <c r="S5" s="581"/>
      <c r="T5" s="592"/>
      <c r="U5" s="580"/>
      <c r="V5" s="580"/>
      <c r="W5" s="583"/>
      <c r="X5" s="593"/>
      <c r="Y5" s="580"/>
      <c r="Z5" s="571"/>
      <c r="AA5" s="571"/>
      <c r="AB5" s="584"/>
      <c r="AC5" s="594"/>
      <c r="AD5" s="571"/>
      <c r="AE5" s="586"/>
      <c r="AF5" s="16"/>
      <c r="AG5" s="5"/>
      <c r="AH5" s="4"/>
      <c r="AI5" s="6"/>
      <c r="AJ5" s="6"/>
      <c r="AK5" s="6"/>
      <c r="AL5" s="6"/>
      <c r="AM5" s="6"/>
      <c r="AN5" s="4" t="s">
        <v>63</v>
      </c>
      <c r="AO5" s="29">
        <f>BN5</f>
        <v>12</v>
      </c>
      <c r="AP5" s="5"/>
      <c r="AQ5" s="11"/>
      <c r="AR5" s="13"/>
      <c r="AS5" s="13"/>
      <c r="AT5" s="13"/>
      <c r="AU5" s="11"/>
      <c r="BE5" s="226"/>
      <c r="BF5" s="227"/>
      <c r="BG5" s="211"/>
      <c r="BH5" s="212"/>
      <c r="BI5" s="211"/>
      <c r="BJ5" s="212"/>
      <c r="BL5" s="224">
        <f>HLOOKUP(BN5,$BM$11:$CH$12,2,FALSE)</f>
        <v>46208</v>
      </c>
      <c r="BM5" s="969" t="s">
        <v>12</v>
      </c>
      <c r="BN5" s="225">
        <f>'Cover Report'!Z3</f>
        <v>12</v>
      </c>
      <c r="BO5" s="15"/>
      <c r="BP5" s="222"/>
      <c r="BQ5" s="223"/>
      <c r="BR5" s="16"/>
      <c r="BS5" s="16"/>
      <c r="BT5" s="16"/>
      <c r="BU5" s="16"/>
      <c r="BV5" s="16"/>
      <c r="BW5" s="16"/>
      <c r="BX5" s="222"/>
      <c r="BY5" s="223"/>
      <c r="BZ5" s="16"/>
      <c r="CA5" s="16"/>
      <c r="CB5" s="16"/>
      <c r="CC5" s="16"/>
      <c r="CD5" s="16"/>
      <c r="CE5" s="16"/>
      <c r="DK5" s="224">
        <f>BL5</f>
        <v>46208</v>
      </c>
      <c r="DL5" s="969" t="s">
        <v>12</v>
      </c>
      <c r="DM5" s="225">
        <f>BN5</f>
        <v>12</v>
      </c>
    </row>
    <row r="6" spans="1:138" ht="16" thickTop="1" thickBot="1">
      <c r="A6" s="569"/>
      <c r="B6" s="570" t="s">
        <v>150</v>
      </c>
      <c r="C6" s="567" t="s">
        <v>29</v>
      </c>
      <c r="D6" s="571"/>
      <c r="E6" s="572"/>
      <c r="F6" s="595"/>
      <c r="G6" s="595"/>
      <c r="H6" s="578"/>
      <c r="I6" s="579"/>
      <c r="J6" s="596"/>
      <c r="K6" s="597"/>
      <c r="L6" s="598"/>
      <c r="M6" s="599"/>
      <c r="N6" s="600"/>
      <c r="O6" s="578"/>
      <c r="P6" s="579"/>
      <c r="Q6" s="580"/>
      <c r="R6" s="579"/>
      <c r="S6" s="581"/>
      <c r="T6" s="592"/>
      <c r="U6" s="580"/>
      <c r="V6" s="580"/>
      <c r="W6" s="583"/>
      <c r="X6" s="593"/>
      <c r="Y6" s="580"/>
      <c r="Z6" s="571"/>
      <c r="AA6" s="571"/>
      <c r="AB6" s="584"/>
      <c r="AC6" s="601"/>
      <c r="AD6" s="571"/>
      <c r="AE6" s="586"/>
      <c r="AF6" s="16"/>
      <c r="AG6" s="19"/>
      <c r="AH6" s="4"/>
      <c r="AI6" s="32"/>
      <c r="AJ6" s="32"/>
      <c r="AK6" s="32"/>
      <c r="AL6" s="32"/>
      <c r="AM6" s="32"/>
      <c r="AN6" s="4" t="s">
        <v>14</v>
      </c>
      <c r="AO6" s="17">
        <f>BL5</f>
        <v>46208</v>
      </c>
      <c r="AP6" s="19"/>
      <c r="AQ6" s="8"/>
      <c r="AR6" s="9"/>
      <c r="AS6" s="9"/>
      <c r="AT6" s="9"/>
      <c r="AU6" s="8"/>
      <c r="BE6" s="211"/>
      <c r="BF6" s="212"/>
      <c r="BG6" s="211"/>
      <c r="BH6" s="212"/>
      <c r="BI6" s="211"/>
      <c r="BJ6" s="212"/>
      <c r="BL6" s="228">
        <f>(HLOOKUP(BN6,$BM$11:$CH$12,2,FALSE))+1</f>
        <v>46202</v>
      </c>
      <c r="BM6" s="970"/>
      <c r="BN6" s="229">
        <f>BN5-1</f>
        <v>11</v>
      </c>
      <c r="BO6" s="15"/>
      <c r="BP6" s="222"/>
      <c r="BQ6" s="223"/>
      <c r="BR6" s="16"/>
      <c r="BS6" s="16"/>
      <c r="BT6" s="16"/>
      <c r="BU6" s="16"/>
      <c r="BV6" s="16"/>
      <c r="BW6" s="16"/>
      <c r="BX6" s="222"/>
      <c r="BY6" s="223"/>
      <c r="BZ6" s="16"/>
      <c r="CA6" s="16"/>
      <c r="CB6" s="16"/>
      <c r="CC6" s="16"/>
      <c r="CD6" s="16"/>
      <c r="CE6" s="16"/>
      <c r="DK6" s="228">
        <f>BL6</f>
        <v>46202</v>
      </c>
      <c r="DL6" s="970"/>
      <c r="DM6" s="229">
        <f>BN6</f>
        <v>11</v>
      </c>
    </row>
    <row r="7" spans="1:138" ht="16" thickTop="1" thickBot="1">
      <c r="A7" s="569"/>
      <c r="B7" s="570" t="s">
        <v>37</v>
      </c>
      <c r="C7" s="567" t="s">
        <v>29</v>
      </c>
      <c r="D7" s="571"/>
      <c r="E7" s="572"/>
      <c r="F7" s="595"/>
      <c r="G7" s="595"/>
      <c r="H7" s="578"/>
      <c r="I7" s="579"/>
      <c r="J7" s="596"/>
      <c r="K7" s="597"/>
      <c r="L7" s="598"/>
      <c r="M7" s="599"/>
      <c r="N7" s="600"/>
      <c r="O7" s="581"/>
      <c r="P7" s="602"/>
      <c r="Q7" s="603"/>
      <c r="R7" s="593"/>
      <c r="S7" s="581"/>
      <c r="T7" s="604"/>
      <c r="U7" s="603"/>
      <c r="V7" s="603"/>
      <c r="W7" s="583"/>
      <c r="X7" s="602"/>
      <c r="Y7" s="603"/>
      <c r="Z7" s="601"/>
      <c r="AA7" s="601"/>
      <c r="AB7" s="584"/>
      <c r="AC7" s="584"/>
      <c r="AD7" s="601"/>
      <c r="AE7" s="605"/>
      <c r="AF7" s="17"/>
      <c r="AG7" s="19"/>
      <c r="AH7" s="4"/>
      <c r="AI7" s="19"/>
      <c r="AJ7" s="19"/>
      <c r="AK7" s="19"/>
      <c r="AL7" s="19"/>
      <c r="AM7" s="19"/>
      <c r="AN7" s="19"/>
      <c r="AO7" s="19"/>
      <c r="AP7" s="19"/>
      <c r="AQ7" s="8"/>
      <c r="AR7" s="9"/>
      <c r="AS7" s="9"/>
      <c r="AT7" s="9"/>
      <c r="AU7" s="8"/>
      <c r="BE7" s="211"/>
      <c r="BF7" s="212"/>
      <c r="BG7" s="211"/>
      <c r="BH7" s="212"/>
      <c r="BI7" s="211"/>
      <c r="BJ7" s="212"/>
      <c r="BL7" s="15"/>
      <c r="BM7" s="15"/>
      <c r="BN7" s="16"/>
      <c r="BO7" s="16"/>
      <c r="BP7" s="16"/>
      <c r="BQ7" s="223"/>
      <c r="BR7" s="16"/>
      <c r="BS7" s="16"/>
      <c r="BT7" s="16"/>
      <c r="BU7" s="16"/>
      <c r="BV7" s="16"/>
      <c r="BW7" s="16"/>
      <c r="BX7" s="16"/>
      <c r="BY7" s="223"/>
      <c r="BZ7" s="16"/>
      <c r="CA7" s="16"/>
      <c r="CB7" s="16"/>
      <c r="CC7" s="16"/>
      <c r="CD7" s="16"/>
      <c r="CE7" s="16"/>
    </row>
    <row r="8" spans="1:138" ht="14" thickBot="1">
      <c r="A8" s="606"/>
      <c r="B8" s="607"/>
      <c r="C8" s="608"/>
      <c r="D8" s="609"/>
      <c r="E8" s="610"/>
      <c r="F8" s="611"/>
      <c r="G8" s="611"/>
      <c r="H8" s="612"/>
      <c r="I8" s="613"/>
      <c r="J8" s="614"/>
      <c r="K8" s="612"/>
      <c r="L8" s="613"/>
      <c r="M8" s="614"/>
      <c r="N8" s="614"/>
      <c r="O8" s="612"/>
      <c r="P8" s="613"/>
      <c r="Q8" s="615"/>
      <c r="R8" s="613"/>
      <c r="S8" s="612"/>
      <c r="T8" s="616"/>
      <c r="U8" s="615"/>
      <c r="V8" s="615"/>
      <c r="W8" s="614"/>
      <c r="X8" s="613"/>
      <c r="Y8" s="615"/>
      <c r="Z8" s="617"/>
      <c r="AA8" s="617"/>
      <c r="AB8" s="610"/>
      <c r="AC8" s="610"/>
      <c r="AD8" s="617"/>
      <c r="AE8" s="618"/>
      <c r="AF8" s="230"/>
      <c r="AG8" s="231"/>
      <c r="AH8" s="231"/>
      <c r="AI8" s="231"/>
      <c r="AJ8" s="231"/>
      <c r="AK8" s="231"/>
      <c r="AL8" s="231"/>
      <c r="AM8" s="231"/>
      <c r="AN8" s="231"/>
      <c r="AO8" s="231"/>
      <c r="AP8" s="231"/>
      <c r="AQ8" s="232"/>
      <c r="AR8" s="231"/>
      <c r="AS8" s="231"/>
      <c r="AT8" s="231"/>
      <c r="AU8" s="232"/>
      <c r="BE8" s="211"/>
      <c r="BF8" s="212"/>
      <c r="BG8" s="211"/>
      <c r="BH8" s="212"/>
      <c r="BI8" s="211"/>
      <c r="BJ8" s="212"/>
      <c r="BL8" s="963" t="s">
        <v>45</v>
      </c>
      <c r="BM8" s="964"/>
      <c r="BN8" s="964"/>
      <c r="BO8" s="964"/>
      <c r="BP8" s="964"/>
      <c r="BQ8" s="964"/>
      <c r="BR8" s="964"/>
      <c r="BS8" s="964"/>
      <c r="BT8" s="964"/>
      <c r="BU8" s="964"/>
      <c r="BV8" s="964"/>
      <c r="BW8" s="964"/>
      <c r="BX8" s="964"/>
      <c r="BY8" s="964"/>
      <c r="BZ8" s="964"/>
      <c r="CA8" s="964"/>
      <c r="CB8" s="964"/>
      <c r="CC8" s="964"/>
      <c r="CD8" s="964"/>
      <c r="CE8" s="964"/>
      <c r="CF8" s="964"/>
      <c r="CG8" s="964"/>
      <c r="CH8" s="964"/>
      <c r="CI8" s="965"/>
      <c r="CK8" s="963" t="s">
        <v>46</v>
      </c>
      <c r="CL8" s="964"/>
      <c r="CM8" s="964"/>
      <c r="CN8" s="964"/>
      <c r="CO8" s="964"/>
      <c r="CP8" s="964"/>
      <c r="CQ8" s="964"/>
      <c r="CR8" s="964"/>
      <c r="CS8" s="964"/>
      <c r="CT8" s="964"/>
      <c r="CU8" s="964"/>
      <c r="CV8" s="964"/>
      <c r="CW8" s="964"/>
      <c r="CX8" s="964"/>
      <c r="CY8" s="964"/>
      <c r="CZ8" s="964"/>
      <c r="DA8" s="964"/>
      <c r="DB8" s="964"/>
      <c r="DC8" s="964"/>
      <c r="DD8" s="964"/>
      <c r="DE8" s="964"/>
      <c r="DF8" s="964"/>
      <c r="DG8" s="964"/>
      <c r="DH8" s="965"/>
      <c r="DK8" s="963" t="s">
        <v>157</v>
      </c>
      <c r="DL8" s="964"/>
      <c r="DM8" s="964"/>
      <c r="DN8" s="964"/>
      <c r="DO8" s="964"/>
      <c r="DP8" s="964"/>
      <c r="DQ8" s="964"/>
      <c r="DR8" s="964"/>
      <c r="DS8" s="964"/>
      <c r="DT8" s="964"/>
      <c r="DU8" s="964"/>
      <c r="DV8" s="964"/>
      <c r="DW8" s="964"/>
      <c r="DX8" s="964"/>
      <c r="DY8" s="964"/>
      <c r="DZ8" s="964"/>
      <c r="EA8" s="964"/>
      <c r="EB8" s="964"/>
      <c r="EC8" s="964"/>
      <c r="ED8" s="964"/>
      <c r="EE8" s="964"/>
      <c r="EF8" s="964"/>
      <c r="EG8" s="964"/>
      <c r="EH8" s="965"/>
    </row>
    <row r="9" spans="1:138" ht="15" customHeight="1" thickBot="1">
      <c r="A9" s="619"/>
      <c r="B9" s="620"/>
      <c r="C9" s="621"/>
      <c r="D9" s="622"/>
      <c r="E9" s="1030" t="s">
        <v>11</v>
      </c>
      <c r="F9" s="1032" t="s">
        <v>15</v>
      </c>
      <c r="G9" s="623"/>
      <c r="H9" s="1034" t="s">
        <v>109</v>
      </c>
      <c r="I9" s="1035"/>
      <c r="J9" s="1036"/>
      <c r="K9" s="1001" t="s">
        <v>81</v>
      </c>
      <c r="L9" s="1002"/>
      <c r="M9" s="1002"/>
      <c r="N9" s="1003"/>
      <c r="O9" s="1004" t="s">
        <v>81</v>
      </c>
      <c r="P9" s="1005"/>
      <c r="Q9" s="1005"/>
      <c r="R9" s="1006"/>
      <c r="S9" s="1004" t="s">
        <v>110</v>
      </c>
      <c r="T9" s="1005"/>
      <c r="U9" s="1005"/>
      <c r="V9" s="1006"/>
      <c r="W9" s="1021"/>
      <c r="X9" s="1022"/>
      <c r="Y9" s="1022"/>
      <c r="Z9" s="1022"/>
      <c r="AA9" s="1023"/>
      <c r="AB9" s="1024" t="s">
        <v>61</v>
      </c>
      <c r="AC9" s="1025"/>
      <c r="AD9" s="1026"/>
      <c r="AE9" s="624"/>
      <c r="AF9" s="515"/>
      <c r="AG9" s="987" t="s">
        <v>10</v>
      </c>
      <c r="AH9" s="988"/>
      <c r="AI9" s="988"/>
      <c r="AJ9" s="988"/>
      <c r="AK9" s="988"/>
      <c r="AL9" s="988"/>
      <c r="AM9" s="988"/>
      <c r="AN9" s="988"/>
      <c r="AO9" s="988"/>
      <c r="AP9" s="988"/>
      <c r="AQ9" s="989"/>
      <c r="AR9" s="233"/>
      <c r="AS9" s="233"/>
      <c r="AT9" s="233"/>
      <c r="AU9" s="234"/>
      <c r="BD9" s="971" t="s">
        <v>230</v>
      </c>
      <c r="BE9" s="973" t="s">
        <v>19</v>
      </c>
      <c r="BF9" s="974"/>
      <c r="BG9" s="973" t="s">
        <v>20</v>
      </c>
      <c r="BH9" s="974"/>
      <c r="BI9" s="977" t="s">
        <v>47</v>
      </c>
      <c r="BJ9" s="974"/>
      <c r="BL9" s="966"/>
      <c r="BM9" s="967"/>
      <c r="BN9" s="967"/>
      <c r="BO9" s="967"/>
      <c r="BP9" s="967"/>
      <c r="BQ9" s="967"/>
      <c r="BR9" s="967"/>
      <c r="BS9" s="967"/>
      <c r="BT9" s="967"/>
      <c r="BU9" s="967"/>
      <c r="BV9" s="967"/>
      <c r="BW9" s="967"/>
      <c r="BX9" s="967"/>
      <c r="BY9" s="967"/>
      <c r="BZ9" s="967"/>
      <c r="CA9" s="967"/>
      <c r="CB9" s="967"/>
      <c r="CC9" s="967"/>
      <c r="CD9" s="967"/>
      <c r="CE9" s="967"/>
      <c r="CF9" s="967"/>
      <c r="CG9" s="967"/>
      <c r="CH9" s="967"/>
      <c r="CI9" s="968"/>
      <c r="CK9" s="966"/>
      <c r="CL9" s="967"/>
      <c r="CM9" s="967"/>
      <c r="CN9" s="967"/>
      <c r="CO9" s="967"/>
      <c r="CP9" s="967"/>
      <c r="CQ9" s="967"/>
      <c r="CR9" s="967"/>
      <c r="CS9" s="967"/>
      <c r="CT9" s="967"/>
      <c r="CU9" s="967"/>
      <c r="CV9" s="967"/>
      <c r="CW9" s="967"/>
      <c r="CX9" s="967"/>
      <c r="CY9" s="967"/>
      <c r="CZ9" s="967"/>
      <c r="DA9" s="967"/>
      <c r="DB9" s="967"/>
      <c r="DC9" s="967"/>
      <c r="DD9" s="967"/>
      <c r="DE9" s="967"/>
      <c r="DF9" s="967"/>
      <c r="DG9" s="967"/>
      <c r="DH9" s="968"/>
      <c r="DK9" s="966"/>
      <c r="DL9" s="967"/>
      <c r="DM9" s="967"/>
      <c r="DN9" s="967"/>
      <c r="DO9" s="967"/>
      <c r="DP9" s="967"/>
      <c r="DQ9" s="967"/>
      <c r="DR9" s="967"/>
      <c r="DS9" s="967"/>
      <c r="DT9" s="967"/>
      <c r="DU9" s="967"/>
      <c r="DV9" s="967"/>
      <c r="DW9" s="967"/>
      <c r="DX9" s="967"/>
      <c r="DY9" s="967"/>
      <c r="DZ9" s="967"/>
      <c r="EA9" s="967"/>
      <c r="EB9" s="967"/>
      <c r="EC9" s="967"/>
      <c r="ED9" s="967"/>
      <c r="EE9" s="967"/>
      <c r="EF9" s="967"/>
      <c r="EG9" s="967"/>
      <c r="EH9" s="968"/>
    </row>
    <row r="10" spans="1:138" ht="45" customHeight="1" thickBot="1">
      <c r="A10" s="625"/>
      <c r="B10" s="729"/>
      <c r="C10" s="730"/>
      <c r="D10" s="626"/>
      <c r="E10" s="1031"/>
      <c r="F10" s="1033"/>
      <c r="G10" s="731"/>
      <c r="H10" s="1037"/>
      <c r="I10" s="1038"/>
      <c r="J10" s="1039"/>
      <c r="K10" s="1001" t="s">
        <v>145</v>
      </c>
      <c r="L10" s="1002"/>
      <c r="M10" s="1002"/>
      <c r="N10" s="1003"/>
      <c r="O10" s="1001" t="s">
        <v>156</v>
      </c>
      <c r="P10" s="1002"/>
      <c r="Q10" s="1002"/>
      <c r="R10" s="1003"/>
      <c r="S10" s="1001" t="s">
        <v>154</v>
      </c>
      <c r="T10" s="1002"/>
      <c r="U10" s="1002"/>
      <c r="V10" s="1003"/>
      <c r="W10" s="1027" t="s">
        <v>79</v>
      </c>
      <c r="X10" s="1028"/>
      <c r="Y10" s="1028"/>
      <c r="Z10" s="1028"/>
      <c r="AA10" s="1029"/>
      <c r="AB10" s="1027"/>
      <c r="AC10" s="1028"/>
      <c r="AD10" s="1028"/>
      <c r="AE10" s="981" t="s">
        <v>80</v>
      </c>
      <c r="AF10" s="516"/>
      <c r="AG10" s="990"/>
      <c r="AH10" s="991"/>
      <c r="AI10" s="991"/>
      <c r="AJ10" s="991"/>
      <c r="AK10" s="991"/>
      <c r="AL10" s="991"/>
      <c r="AM10" s="991"/>
      <c r="AN10" s="991"/>
      <c r="AO10" s="991"/>
      <c r="AP10" s="991"/>
      <c r="AQ10" s="992"/>
      <c r="AR10" s="993" t="s">
        <v>9</v>
      </c>
      <c r="AS10" s="993"/>
      <c r="AT10" s="993"/>
      <c r="AU10" s="994"/>
      <c r="BD10" s="972"/>
      <c r="BE10" s="975"/>
      <c r="BF10" s="976"/>
      <c r="BG10" s="975"/>
      <c r="BH10" s="976"/>
      <c r="BI10" s="978"/>
      <c r="BJ10" s="976"/>
    </row>
    <row r="11" spans="1:138" ht="75" customHeight="1" thickBot="1">
      <c r="A11" s="1014" t="s">
        <v>21</v>
      </c>
      <c r="B11" s="1015"/>
      <c r="C11" s="1015"/>
      <c r="D11" s="1016"/>
      <c r="E11" s="1031"/>
      <c r="F11" s="1033"/>
      <c r="G11" s="731"/>
      <c r="H11" s="983">
        <v>0.05</v>
      </c>
      <c r="I11" s="984"/>
      <c r="J11" s="985"/>
      <c r="K11" s="983">
        <v>0.25</v>
      </c>
      <c r="L11" s="984"/>
      <c r="M11" s="984"/>
      <c r="N11" s="985"/>
      <c r="O11" s="983">
        <v>0.5</v>
      </c>
      <c r="P11" s="984"/>
      <c r="Q11" s="984"/>
      <c r="R11" s="985"/>
      <c r="S11" s="983">
        <v>0.75</v>
      </c>
      <c r="T11" s="984"/>
      <c r="U11" s="984"/>
      <c r="V11" s="985"/>
      <c r="W11" s="983">
        <v>1</v>
      </c>
      <c r="X11" s="984"/>
      <c r="Y11" s="984"/>
      <c r="Z11" s="984"/>
      <c r="AA11" s="986"/>
      <c r="AB11" s="1017"/>
      <c r="AC11" s="1018"/>
      <c r="AD11" s="1018"/>
      <c r="AE11" s="981"/>
      <c r="AF11" s="516"/>
      <c r="AG11" s="995" t="s">
        <v>6</v>
      </c>
      <c r="AH11" s="996"/>
      <c r="AI11" s="996"/>
      <c r="AJ11" s="996"/>
      <c r="AK11" s="996"/>
      <c r="AL11" s="996"/>
      <c r="AM11" s="714"/>
      <c r="AN11" s="995" t="s">
        <v>31</v>
      </c>
      <c r="AO11" s="996"/>
      <c r="AP11" s="996"/>
      <c r="AQ11" s="997"/>
      <c r="AR11" s="998" t="s">
        <v>31</v>
      </c>
      <c r="AS11" s="999"/>
      <c r="AT11" s="999"/>
      <c r="AU11" s="1000"/>
      <c r="BD11" s="972"/>
      <c r="BE11" s="745" t="s">
        <v>4</v>
      </c>
      <c r="BF11" s="746" t="s">
        <v>5</v>
      </c>
      <c r="BG11" s="745" t="s">
        <v>4</v>
      </c>
      <c r="BH11" s="746" t="s">
        <v>5</v>
      </c>
      <c r="BI11" s="747" t="s">
        <v>4</v>
      </c>
      <c r="BJ11" s="748" t="s">
        <v>5</v>
      </c>
      <c r="BL11" s="20"/>
      <c r="BM11" s="21"/>
      <c r="BN11" s="21">
        <v>0</v>
      </c>
      <c r="BO11" s="21">
        <v>1</v>
      </c>
      <c r="BP11" s="21">
        <v>2</v>
      </c>
      <c r="BQ11" s="21">
        <v>3</v>
      </c>
      <c r="BR11" s="21">
        <v>4</v>
      </c>
      <c r="BS11" s="21">
        <v>5</v>
      </c>
      <c r="BT11" s="21">
        <v>6</v>
      </c>
      <c r="BU11" s="21">
        <v>7</v>
      </c>
      <c r="BV11" s="21">
        <v>8</v>
      </c>
      <c r="BW11" s="21">
        <v>9</v>
      </c>
      <c r="BX11" s="21">
        <v>10</v>
      </c>
      <c r="BY11" s="21">
        <v>11</v>
      </c>
      <c r="BZ11" s="21">
        <v>12</v>
      </c>
      <c r="CA11" s="21">
        <v>13</v>
      </c>
      <c r="CB11" s="21">
        <v>14</v>
      </c>
      <c r="CC11" s="21">
        <v>15</v>
      </c>
      <c r="CD11" s="21">
        <v>16</v>
      </c>
      <c r="CE11" s="21">
        <v>17</v>
      </c>
      <c r="CF11" s="21">
        <v>18</v>
      </c>
      <c r="CG11" s="21">
        <v>19</v>
      </c>
      <c r="CH11" s="21">
        <v>20</v>
      </c>
      <c r="CI11" s="691"/>
      <c r="CJ11" s="690"/>
      <c r="CK11" s="20"/>
      <c r="CL11" s="21"/>
      <c r="CM11" s="21">
        <v>0</v>
      </c>
      <c r="CN11" s="21">
        <v>1</v>
      </c>
      <c r="CO11" s="21">
        <v>2</v>
      </c>
      <c r="CP11" s="21">
        <v>3</v>
      </c>
      <c r="CQ11" s="21">
        <v>4</v>
      </c>
      <c r="CR11" s="21">
        <v>5</v>
      </c>
      <c r="CS11" s="21">
        <v>6</v>
      </c>
      <c r="CT11" s="21">
        <v>7</v>
      </c>
      <c r="CU11" s="21">
        <v>8</v>
      </c>
      <c r="CV11" s="21">
        <v>9</v>
      </c>
      <c r="CW11" s="21">
        <v>10</v>
      </c>
      <c r="CX11" s="21">
        <v>11</v>
      </c>
      <c r="CY11" s="21">
        <v>12</v>
      </c>
      <c r="CZ11" s="21">
        <v>13</v>
      </c>
      <c r="DA11" s="21">
        <v>14</v>
      </c>
      <c r="DB11" s="21">
        <v>15</v>
      </c>
      <c r="DC11" s="21">
        <v>16</v>
      </c>
      <c r="DD11" s="21">
        <v>17</v>
      </c>
      <c r="DE11" s="21">
        <v>18</v>
      </c>
      <c r="DF11" s="21">
        <v>19</v>
      </c>
      <c r="DG11" s="21">
        <v>20</v>
      </c>
      <c r="DH11" s="691"/>
      <c r="DK11" s="20"/>
      <c r="DL11" s="21"/>
      <c r="DM11" s="21">
        <v>0</v>
      </c>
      <c r="DN11" s="21">
        <v>1</v>
      </c>
      <c r="DO11" s="21">
        <v>2</v>
      </c>
      <c r="DP11" s="21">
        <v>3</v>
      </c>
      <c r="DQ11" s="21">
        <v>4</v>
      </c>
      <c r="DR11" s="21">
        <v>5</v>
      </c>
      <c r="DS11" s="21">
        <v>6</v>
      </c>
      <c r="DT11" s="21">
        <v>7</v>
      </c>
      <c r="DU11" s="21">
        <v>8</v>
      </c>
      <c r="DV11" s="21">
        <v>9</v>
      </c>
      <c r="DW11" s="21">
        <v>10</v>
      </c>
      <c r="DX11" s="21">
        <v>11</v>
      </c>
      <c r="DY11" s="21">
        <v>12</v>
      </c>
      <c r="DZ11" s="21">
        <v>13</v>
      </c>
      <c r="EA11" s="21">
        <v>14</v>
      </c>
      <c r="EB11" s="21">
        <v>15</v>
      </c>
      <c r="EC11" s="21">
        <v>16</v>
      </c>
      <c r="ED11" s="21">
        <v>17</v>
      </c>
      <c r="EE11" s="21">
        <v>18</v>
      </c>
      <c r="EF11" s="21">
        <v>19</v>
      </c>
      <c r="EG11" s="21">
        <v>20</v>
      </c>
      <c r="EH11" s="691"/>
    </row>
    <row r="12" spans="1:138" ht="33" customHeight="1">
      <c r="A12" s="625"/>
      <c r="B12" s="729"/>
      <c r="C12" s="729"/>
      <c r="D12" s="626"/>
      <c r="E12" s="1031"/>
      <c r="F12" s="1033"/>
      <c r="G12" s="731"/>
      <c r="H12" s="793">
        <f>H11</f>
        <v>0.05</v>
      </c>
      <c r="I12" s="794">
        <f>H11</f>
        <v>0.05</v>
      </c>
      <c r="J12" s="795">
        <f>H11</f>
        <v>0.05</v>
      </c>
      <c r="K12" s="793">
        <f>K11</f>
        <v>0.25</v>
      </c>
      <c r="L12" s="794">
        <f>K11</f>
        <v>0.25</v>
      </c>
      <c r="M12" s="794">
        <f>K11</f>
        <v>0.25</v>
      </c>
      <c r="N12" s="796">
        <f>K11</f>
        <v>0.25</v>
      </c>
      <c r="O12" s="793">
        <f>O11</f>
        <v>0.5</v>
      </c>
      <c r="P12" s="794">
        <f>O11</f>
        <v>0.5</v>
      </c>
      <c r="Q12" s="794">
        <f>O11</f>
        <v>0.5</v>
      </c>
      <c r="R12" s="796">
        <f>O11</f>
        <v>0.5</v>
      </c>
      <c r="S12" s="793">
        <f>S11</f>
        <v>0.75</v>
      </c>
      <c r="T12" s="794">
        <f>S11</f>
        <v>0.75</v>
      </c>
      <c r="U12" s="794">
        <f>S11</f>
        <v>0.75</v>
      </c>
      <c r="V12" s="796">
        <f>S11</f>
        <v>0.75</v>
      </c>
      <c r="W12" s="793">
        <f>W11</f>
        <v>1</v>
      </c>
      <c r="X12" s="794">
        <f>W11</f>
        <v>1</v>
      </c>
      <c r="Y12" s="794">
        <f>W11</f>
        <v>1</v>
      </c>
      <c r="Z12" s="794">
        <f>W11</f>
        <v>1</v>
      </c>
      <c r="AA12" s="795">
        <f>W11</f>
        <v>1</v>
      </c>
      <c r="AB12" s="1019"/>
      <c r="AC12" s="1020"/>
      <c r="AD12" s="1020"/>
      <c r="AE12" s="982"/>
      <c r="AF12" s="517" t="s">
        <v>151</v>
      </c>
      <c r="AG12" s="1007" t="s">
        <v>19</v>
      </c>
      <c r="AH12" s="1008"/>
      <c r="AI12" s="1008"/>
      <c r="AJ12" s="372" t="s">
        <v>20</v>
      </c>
      <c r="AK12" s="373" t="s">
        <v>69</v>
      </c>
      <c r="AL12" s="373" t="s">
        <v>72</v>
      </c>
      <c r="AM12" s="715" t="s">
        <v>73</v>
      </c>
      <c r="AN12" s="722" t="s">
        <v>19</v>
      </c>
      <c r="AO12" s="374" t="s">
        <v>20</v>
      </c>
      <c r="AP12" s="375" t="s">
        <v>69</v>
      </c>
      <c r="AQ12" s="376" t="s">
        <v>39</v>
      </c>
      <c r="AR12" s="1009" t="s">
        <v>16</v>
      </c>
      <c r="AS12" s="1011" t="s">
        <v>17</v>
      </c>
      <c r="AT12" s="979" t="s">
        <v>18</v>
      </c>
      <c r="AU12" s="980"/>
      <c r="BD12" s="749"/>
      <c r="BE12" s="750"/>
      <c r="BF12" s="751"/>
      <c r="BG12" s="750"/>
      <c r="BH12" s="751"/>
      <c r="BI12" s="752"/>
      <c r="BJ12" s="751"/>
      <c r="BL12" s="22"/>
      <c r="BM12" s="10">
        <v>46113</v>
      </c>
      <c r="BN12" s="10">
        <f>BM12+11</f>
        <v>46124</v>
      </c>
      <c r="BO12" s="10">
        <f t="shared" ref="BO12:BV12" si="0">BN12+7</f>
        <v>46131</v>
      </c>
      <c r="BP12" s="10">
        <f t="shared" si="0"/>
        <v>46138</v>
      </c>
      <c r="BQ12" s="10">
        <f t="shared" si="0"/>
        <v>46145</v>
      </c>
      <c r="BR12" s="10">
        <f t="shared" si="0"/>
        <v>46152</v>
      </c>
      <c r="BS12" s="10">
        <f t="shared" si="0"/>
        <v>46159</v>
      </c>
      <c r="BT12" s="10">
        <f t="shared" si="0"/>
        <v>46166</v>
      </c>
      <c r="BU12" s="10">
        <f t="shared" si="0"/>
        <v>46173</v>
      </c>
      <c r="BV12" s="10">
        <f t="shared" si="0"/>
        <v>46180</v>
      </c>
      <c r="BW12" s="10">
        <f t="shared" ref="BW12:CG12" si="1">BV12+7</f>
        <v>46187</v>
      </c>
      <c r="BX12" s="10">
        <f t="shared" si="1"/>
        <v>46194</v>
      </c>
      <c r="BY12" s="10">
        <f t="shared" si="1"/>
        <v>46201</v>
      </c>
      <c r="BZ12" s="10">
        <f t="shared" si="1"/>
        <v>46208</v>
      </c>
      <c r="CA12" s="10">
        <f t="shared" si="1"/>
        <v>46215</v>
      </c>
      <c r="CB12" s="10">
        <f t="shared" si="1"/>
        <v>46222</v>
      </c>
      <c r="CC12" s="10">
        <f t="shared" si="1"/>
        <v>46229</v>
      </c>
      <c r="CD12" s="10">
        <f t="shared" si="1"/>
        <v>46236</v>
      </c>
      <c r="CE12" s="10">
        <f t="shared" si="1"/>
        <v>46243</v>
      </c>
      <c r="CF12" s="10">
        <f t="shared" si="1"/>
        <v>46250</v>
      </c>
      <c r="CG12" s="10">
        <f t="shared" si="1"/>
        <v>46257</v>
      </c>
      <c r="CH12" s="10">
        <f>CG12+8</f>
        <v>46265</v>
      </c>
      <c r="CI12" s="31"/>
      <c r="CJ12" s="10"/>
      <c r="CK12" s="22"/>
      <c r="CL12" s="10">
        <v>46113</v>
      </c>
      <c r="CM12" s="10">
        <f>CL12+12</f>
        <v>46125</v>
      </c>
      <c r="CN12" s="10">
        <f>CM12+6</f>
        <v>46131</v>
      </c>
      <c r="CO12" s="10">
        <f t="shared" ref="CO12:CU12" si="2">CN12+7</f>
        <v>46138</v>
      </c>
      <c r="CP12" s="10">
        <f t="shared" si="2"/>
        <v>46145</v>
      </c>
      <c r="CQ12" s="10">
        <f t="shared" si="2"/>
        <v>46152</v>
      </c>
      <c r="CR12" s="10">
        <f t="shared" si="2"/>
        <v>46159</v>
      </c>
      <c r="CS12" s="10">
        <f t="shared" si="2"/>
        <v>46166</v>
      </c>
      <c r="CT12" s="10">
        <f t="shared" si="2"/>
        <v>46173</v>
      </c>
      <c r="CU12" s="10">
        <f t="shared" si="2"/>
        <v>46180</v>
      </c>
      <c r="CV12" s="10">
        <f t="shared" ref="CV12" si="3">CU12+7</f>
        <v>46187</v>
      </c>
      <c r="CW12" s="10">
        <f t="shared" ref="CW12" si="4">CV12+7</f>
        <v>46194</v>
      </c>
      <c r="CX12" s="10">
        <f t="shared" ref="CX12" si="5">CW12+7</f>
        <v>46201</v>
      </c>
      <c r="CY12" s="10">
        <f t="shared" ref="CY12" si="6">CX12+7</f>
        <v>46208</v>
      </c>
      <c r="CZ12" s="10">
        <f t="shared" ref="CZ12" si="7">CY12+7</f>
        <v>46215</v>
      </c>
      <c r="DA12" s="10">
        <f t="shared" ref="DA12" si="8">CZ12+7</f>
        <v>46222</v>
      </c>
      <c r="DB12" s="10">
        <f t="shared" ref="DB12" si="9">DA12+7</f>
        <v>46229</v>
      </c>
      <c r="DC12" s="10">
        <f t="shared" ref="DC12" si="10">DB12+7</f>
        <v>46236</v>
      </c>
      <c r="DD12" s="10">
        <f t="shared" ref="DD12" si="11">DC12+7</f>
        <v>46243</v>
      </c>
      <c r="DE12" s="10">
        <f t="shared" ref="DE12" si="12">DD12+7</f>
        <v>46250</v>
      </c>
      <c r="DF12" s="10">
        <f t="shared" ref="DF12" si="13">DE12+7</f>
        <v>46257</v>
      </c>
      <c r="DG12" s="10">
        <f>DF12+8</f>
        <v>46265</v>
      </c>
      <c r="DH12" s="31"/>
      <c r="DK12" s="22"/>
      <c r="DL12" s="10">
        <v>46113</v>
      </c>
      <c r="DM12" s="10">
        <f>DL12+12</f>
        <v>46125</v>
      </c>
      <c r="DN12" s="10">
        <f>DM12+6</f>
        <v>46131</v>
      </c>
      <c r="DO12" s="10">
        <f t="shared" ref="DO12:DU12" si="14">DN12+7</f>
        <v>46138</v>
      </c>
      <c r="DP12" s="10">
        <f t="shared" si="14"/>
        <v>46145</v>
      </c>
      <c r="DQ12" s="10">
        <f t="shared" si="14"/>
        <v>46152</v>
      </c>
      <c r="DR12" s="10">
        <f t="shared" si="14"/>
        <v>46159</v>
      </c>
      <c r="DS12" s="10">
        <f t="shared" si="14"/>
        <v>46166</v>
      </c>
      <c r="DT12" s="10">
        <f t="shared" si="14"/>
        <v>46173</v>
      </c>
      <c r="DU12" s="10">
        <f t="shared" si="14"/>
        <v>46180</v>
      </c>
      <c r="DV12" s="10">
        <f t="shared" ref="DV12" si="15">DU12+7</f>
        <v>46187</v>
      </c>
      <c r="DW12" s="10">
        <f t="shared" ref="DW12" si="16">DV12+7</f>
        <v>46194</v>
      </c>
      <c r="DX12" s="10">
        <f t="shared" ref="DX12" si="17">DW12+7</f>
        <v>46201</v>
      </c>
      <c r="DY12" s="10">
        <f t="shared" ref="DY12" si="18">DX12+7</f>
        <v>46208</v>
      </c>
      <c r="DZ12" s="10">
        <f t="shared" ref="DZ12" si="19">DY12+7</f>
        <v>46215</v>
      </c>
      <c r="EA12" s="10">
        <f t="shared" ref="EA12" si="20">DZ12+7</f>
        <v>46222</v>
      </c>
      <c r="EB12" s="10">
        <f t="shared" ref="EB12" si="21">EA12+7</f>
        <v>46229</v>
      </c>
      <c r="EC12" s="10">
        <f t="shared" ref="EC12" si="22">EB12+7</f>
        <v>46236</v>
      </c>
      <c r="ED12" s="10">
        <f t="shared" ref="ED12" si="23">EC12+7</f>
        <v>46243</v>
      </c>
      <c r="EE12" s="10">
        <f t="shared" ref="EE12" si="24">ED12+7</f>
        <v>46250</v>
      </c>
      <c r="EF12" s="10">
        <f t="shared" ref="EF12" si="25">EE12+7</f>
        <v>46257</v>
      </c>
      <c r="EG12" s="10">
        <f>EF12+8</f>
        <v>46265</v>
      </c>
      <c r="EH12" s="31"/>
    </row>
    <row r="13" spans="1:138" ht="15" thickBot="1">
      <c r="A13" s="627"/>
      <c r="B13" s="628"/>
      <c r="C13" s="629"/>
      <c r="D13" s="630"/>
      <c r="E13" s="631"/>
      <c r="F13" s="632"/>
      <c r="G13" s="633"/>
      <c r="H13" s="634" t="s">
        <v>24</v>
      </c>
      <c r="I13" s="635" t="s">
        <v>147</v>
      </c>
      <c r="J13" s="636" t="s">
        <v>25</v>
      </c>
      <c r="K13" s="634" t="s">
        <v>24</v>
      </c>
      <c r="L13" s="635" t="s">
        <v>147</v>
      </c>
      <c r="M13" s="636" t="s">
        <v>25</v>
      </c>
      <c r="N13" s="634" t="s">
        <v>60</v>
      </c>
      <c r="O13" s="634" t="s">
        <v>24</v>
      </c>
      <c r="P13" s="635" t="s">
        <v>147</v>
      </c>
      <c r="Q13" s="637" t="s">
        <v>25</v>
      </c>
      <c r="R13" s="636" t="s">
        <v>60</v>
      </c>
      <c r="S13" s="634" t="s">
        <v>24</v>
      </c>
      <c r="T13" s="635" t="s">
        <v>147</v>
      </c>
      <c r="U13" s="637" t="s">
        <v>25</v>
      </c>
      <c r="V13" s="636" t="s">
        <v>60</v>
      </c>
      <c r="W13" s="634" t="s">
        <v>24</v>
      </c>
      <c r="X13" s="635" t="s">
        <v>147</v>
      </c>
      <c r="Y13" s="638" t="s">
        <v>25</v>
      </c>
      <c r="Z13" s="639" t="s">
        <v>60</v>
      </c>
      <c r="AA13" s="639" t="s">
        <v>74</v>
      </c>
      <c r="AB13" s="639" t="s">
        <v>24</v>
      </c>
      <c r="AC13" s="640" t="s">
        <v>44</v>
      </c>
      <c r="AD13" s="639" t="s">
        <v>25</v>
      </c>
      <c r="AE13" s="641"/>
      <c r="AF13" s="713"/>
      <c r="AG13" s="377" t="s">
        <v>4</v>
      </c>
      <c r="AH13" s="378" t="s">
        <v>8</v>
      </c>
      <c r="AI13" s="379" t="s">
        <v>5</v>
      </c>
      <c r="AJ13" s="380" t="s">
        <v>5</v>
      </c>
      <c r="AK13" s="381" t="s">
        <v>5</v>
      </c>
      <c r="AL13" s="382" t="s">
        <v>5</v>
      </c>
      <c r="AM13" s="716"/>
      <c r="AN13" s="723" t="s">
        <v>5</v>
      </c>
      <c r="AO13" s="383" t="s">
        <v>5</v>
      </c>
      <c r="AP13" s="384" t="s">
        <v>5</v>
      </c>
      <c r="AQ13" s="385" t="s">
        <v>5</v>
      </c>
      <c r="AR13" s="1010"/>
      <c r="AS13" s="1012"/>
      <c r="AT13" s="30" t="s">
        <v>7</v>
      </c>
      <c r="AU13" s="14"/>
      <c r="BD13" s="753"/>
      <c r="BE13" s="753"/>
      <c r="BF13" s="754"/>
      <c r="BG13" s="753"/>
      <c r="BH13" s="754"/>
      <c r="BI13" s="755"/>
      <c r="BJ13" s="754"/>
      <c r="BL13" s="681"/>
      <c r="CI13" s="680"/>
      <c r="CK13" s="681"/>
      <c r="DH13" s="680"/>
      <c r="DK13" s="681"/>
      <c r="EH13" s="680"/>
    </row>
    <row r="14" spans="1:138" ht="15" thickTop="1">
      <c r="A14" s="681"/>
      <c r="AE14" s="732"/>
      <c r="AG14" s="681"/>
      <c r="AM14" s="680"/>
      <c r="AN14" s="681"/>
      <c r="AQ14" s="680"/>
      <c r="AR14" s="681"/>
      <c r="AU14" s="680"/>
      <c r="BD14" s="753"/>
      <c r="BE14" s="753"/>
      <c r="BF14" s="754"/>
      <c r="BG14" s="753"/>
      <c r="BH14" s="754"/>
      <c r="BI14" s="755"/>
      <c r="BJ14" s="754"/>
      <c r="BL14" s="681"/>
      <c r="CI14" s="680"/>
      <c r="CK14" s="681"/>
      <c r="DH14" s="680"/>
      <c r="DK14" s="681"/>
      <c r="EH14" s="680"/>
    </row>
    <row r="15" spans="1:138" s="642" customFormat="1" ht="14">
      <c r="A15" s="682" t="s">
        <v>31</v>
      </c>
      <c r="B15" s="676"/>
      <c r="C15" s="679"/>
      <c r="D15" s="677"/>
      <c r="E15" s="656"/>
      <c r="F15" s="657">
        <f>SUBTOTAL(9,F16:F37)</f>
        <v>1</v>
      </c>
      <c r="G15" s="658"/>
      <c r="H15" s="659"/>
      <c r="I15" s="660"/>
      <c r="J15" s="661"/>
      <c r="K15" s="659"/>
      <c r="L15" s="660"/>
      <c r="M15" s="661"/>
      <c r="N15" s="661"/>
      <c r="O15" s="659"/>
      <c r="P15" s="660"/>
      <c r="Q15" s="661"/>
      <c r="R15" s="660"/>
      <c r="S15" s="659"/>
      <c r="T15" s="662"/>
      <c r="U15" s="661"/>
      <c r="V15" s="661"/>
      <c r="W15" s="661"/>
      <c r="X15" s="660"/>
      <c r="Y15" s="661"/>
      <c r="Z15" s="663"/>
      <c r="AA15" s="663"/>
      <c r="AB15" s="663"/>
      <c r="AC15" s="663"/>
      <c r="AD15" s="663"/>
      <c r="AE15" s="733"/>
      <c r="AG15" s="692"/>
      <c r="AM15" s="683"/>
      <c r="AN15" s="692"/>
      <c r="AQ15" s="683"/>
      <c r="AR15" s="692"/>
      <c r="AU15" s="683"/>
      <c r="AZ15" s="829">
        <v>0.7773500000000001</v>
      </c>
      <c r="BA15" s="835"/>
      <c r="BD15" s="759" t="s">
        <v>31</v>
      </c>
      <c r="BE15" s="766">
        <f t="shared" ref="BE15:BJ15" si="26">SUBTOTAL(9,BE16:BE36)</f>
        <v>0.83160000000000012</v>
      </c>
      <c r="BF15" s="760">
        <f t="shared" si="26"/>
        <v>0.86670000000000003</v>
      </c>
      <c r="BG15" s="766">
        <f t="shared" si="26"/>
        <v>0.75414499999999995</v>
      </c>
      <c r="BH15" s="760">
        <f t="shared" si="26"/>
        <v>0.85975000000000013</v>
      </c>
      <c r="BI15" s="756">
        <f t="shared" si="26"/>
        <v>3.09E-2</v>
      </c>
      <c r="BJ15" s="760">
        <f t="shared" si="26"/>
        <v>3.09E-2</v>
      </c>
      <c r="BL15" s="692"/>
      <c r="BM15" s="701">
        <f>SUBTOTAL(9,BM16:BM36)</f>
        <v>0</v>
      </c>
      <c r="BN15" s="701">
        <f t="shared" ref="BN15:CH15" si="27">SUBTOTAL(9,BN16:BN36)</f>
        <v>6.3355000000000009E-2</v>
      </c>
      <c r="BO15" s="701">
        <f t="shared" si="27"/>
        <v>0.10044500000000001</v>
      </c>
      <c r="BP15" s="701">
        <f t="shared" si="27"/>
        <v>0.17152500000000001</v>
      </c>
      <c r="BQ15" s="701">
        <f t="shared" si="27"/>
        <v>0.21412000000000003</v>
      </c>
      <c r="BR15" s="701">
        <f t="shared" si="27"/>
        <v>0.26307000000000003</v>
      </c>
      <c r="BS15" s="701">
        <f t="shared" si="27"/>
        <v>0.38565000000000005</v>
      </c>
      <c r="BT15" s="701">
        <f t="shared" si="27"/>
        <v>0.4738750000000001</v>
      </c>
      <c r="BU15" s="701">
        <f t="shared" si="27"/>
        <v>0.55805000000000005</v>
      </c>
      <c r="BV15" s="701">
        <f t="shared" si="27"/>
        <v>0.59152500000000008</v>
      </c>
      <c r="BW15" s="701">
        <f t="shared" si="27"/>
        <v>0.68732000000000004</v>
      </c>
      <c r="BX15" s="701">
        <f t="shared" si="27"/>
        <v>0.74509999999999998</v>
      </c>
      <c r="BY15" s="701">
        <f t="shared" si="27"/>
        <v>0.75414499999999995</v>
      </c>
      <c r="BZ15" s="701">
        <f t="shared" si="27"/>
        <v>0.85975000000000013</v>
      </c>
      <c r="CA15" s="701">
        <f t="shared" si="27"/>
        <v>0.85975000000000013</v>
      </c>
      <c r="CB15" s="701">
        <f t="shared" si="27"/>
        <v>0.91820000000000013</v>
      </c>
      <c r="CC15" s="701">
        <f t="shared" si="27"/>
        <v>0.94155000000000011</v>
      </c>
      <c r="CD15" s="701">
        <f t="shared" si="27"/>
        <v>1</v>
      </c>
      <c r="CE15" s="701">
        <f t="shared" si="27"/>
        <v>1</v>
      </c>
      <c r="CF15" s="701">
        <f t="shared" si="27"/>
        <v>1</v>
      </c>
      <c r="CG15" s="701">
        <f t="shared" si="27"/>
        <v>1</v>
      </c>
      <c r="CH15" s="701">
        <f t="shared" si="27"/>
        <v>1</v>
      </c>
      <c r="CI15" s="683"/>
      <c r="CK15" s="692"/>
      <c r="CL15" s="701">
        <f>SUBTOTAL(9,CL16:CL36)</f>
        <v>0</v>
      </c>
      <c r="CM15" s="701">
        <f t="shared" ref="CM15:DF15" si="28">SUBTOTAL(9,CM16:CM36)</f>
        <v>0</v>
      </c>
      <c r="CN15" s="701">
        <f t="shared" si="28"/>
        <v>0</v>
      </c>
      <c r="CO15" s="701">
        <f t="shared" si="28"/>
        <v>3.09E-2</v>
      </c>
      <c r="CP15" s="701">
        <f t="shared" si="28"/>
        <v>3.09E-2</v>
      </c>
      <c r="CQ15" s="701">
        <f t="shared" si="28"/>
        <v>3.09E-2</v>
      </c>
      <c r="CR15" s="701">
        <f t="shared" si="28"/>
        <v>3.09E-2</v>
      </c>
      <c r="CS15" s="701">
        <f t="shared" si="28"/>
        <v>3.09E-2</v>
      </c>
      <c r="CT15" s="701">
        <f t="shared" si="28"/>
        <v>3.09E-2</v>
      </c>
      <c r="CU15" s="701">
        <f t="shared" si="28"/>
        <v>3.09E-2</v>
      </c>
      <c r="CV15" s="701">
        <f t="shared" si="28"/>
        <v>3.09E-2</v>
      </c>
      <c r="CW15" s="701">
        <f t="shared" si="28"/>
        <v>3.09E-2</v>
      </c>
      <c r="CX15" s="701">
        <f t="shared" si="28"/>
        <v>3.09E-2</v>
      </c>
      <c r="CY15" s="701">
        <f t="shared" si="28"/>
        <v>3.09E-2</v>
      </c>
      <c r="CZ15" s="701">
        <f t="shared" si="28"/>
        <v>6.9525000000000003E-2</v>
      </c>
      <c r="DA15" s="701">
        <f t="shared" si="28"/>
        <v>6.9525000000000003E-2</v>
      </c>
      <c r="DB15" s="701">
        <f t="shared" si="28"/>
        <v>6.9525000000000003E-2</v>
      </c>
      <c r="DC15" s="701">
        <f t="shared" si="28"/>
        <v>6.9525000000000003E-2</v>
      </c>
      <c r="DD15" s="701">
        <f t="shared" si="28"/>
        <v>6.9525000000000003E-2</v>
      </c>
      <c r="DE15" s="701">
        <f t="shared" si="28"/>
        <v>6.9525000000000003E-2</v>
      </c>
      <c r="DF15" s="701">
        <f t="shared" si="28"/>
        <v>6.9525000000000003E-2</v>
      </c>
      <c r="DG15" s="701">
        <f>SUBTOTAL(9,DG16:DG36)</f>
        <v>6.9525000000000003E-2</v>
      </c>
      <c r="DH15" s="683"/>
      <c r="DK15" s="692"/>
      <c r="DL15" s="701">
        <f>SUBTOTAL(9,DL16:DL36)</f>
        <v>0</v>
      </c>
      <c r="DM15" s="701">
        <f t="shared" ref="DM15:EG15" si="29">SUBTOTAL(9,DM16:DM36)</f>
        <v>0.217725</v>
      </c>
      <c r="DN15" s="701">
        <f t="shared" si="29"/>
        <v>0.36179</v>
      </c>
      <c r="DO15" s="701">
        <f t="shared" si="29"/>
        <v>0.41880000000000001</v>
      </c>
      <c r="DP15" s="701">
        <f t="shared" si="29"/>
        <v>0.43755999999999995</v>
      </c>
      <c r="DQ15" s="701">
        <f t="shared" si="29"/>
        <v>0.45300999999999997</v>
      </c>
      <c r="DR15" s="701">
        <f t="shared" si="29"/>
        <v>0.51260000000000006</v>
      </c>
      <c r="DS15" s="701">
        <f t="shared" si="29"/>
        <v>0.52202499999999996</v>
      </c>
      <c r="DT15" s="701">
        <f t="shared" si="29"/>
        <v>0.55291000000000001</v>
      </c>
      <c r="DU15" s="701">
        <f t="shared" si="29"/>
        <v>0.61517500000000003</v>
      </c>
      <c r="DV15" s="701">
        <f t="shared" si="29"/>
        <v>0.69549000000000005</v>
      </c>
      <c r="DW15" s="701">
        <f t="shared" si="29"/>
        <v>0.7773500000000001</v>
      </c>
      <c r="DX15" s="701">
        <f t="shared" si="29"/>
        <v>0.80825000000000014</v>
      </c>
      <c r="DY15" s="701">
        <f t="shared" si="29"/>
        <v>0.86670000000000003</v>
      </c>
      <c r="DZ15" s="701">
        <f t="shared" si="29"/>
        <v>0.86670000000000003</v>
      </c>
      <c r="EA15" s="701">
        <f t="shared" si="29"/>
        <v>0.86670000000000003</v>
      </c>
      <c r="EB15" s="701">
        <f t="shared" si="29"/>
        <v>0.86670000000000003</v>
      </c>
      <c r="EC15" s="701">
        <f t="shared" si="29"/>
        <v>0.86670000000000003</v>
      </c>
      <c r="ED15" s="701">
        <f t="shared" si="29"/>
        <v>0.86670000000000003</v>
      </c>
      <c r="EE15" s="701">
        <f t="shared" si="29"/>
        <v>0.86670000000000003</v>
      </c>
      <c r="EF15" s="701">
        <f t="shared" si="29"/>
        <v>0.86670000000000003</v>
      </c>
      <c r="EG15" s="701">
        <f t="shared" si="29"/>
        <v>0.86670000000000003</v>
      </c>
      <c r="EH15" s="683"/>
    </row>
    <row r="16" spans="1:138" s="643" customFormat="1" ht="14">
      <c r="A16" s="684">
        <v>1</v>
      </c>
      <c r="B16" s="664"/>
      <c r="C16" s="678" t="s">
        <v>194</v>
      </c>
      <c r="D16" s="665"/>
      <c r="E16" s="666"/>
      <c r="F16" s="667">
        <f>SUBTOTAL(9,F17:F18)</f>
        <v>9.2700000000000005E-2</v>
      </c>
      <c r="G16" s="666"/>
      <c r="H16" s="666"/>
      <c r="I16" s="666"/>
      <c r="J16" s="666"/>
      <c r="K16" s="666"/>
      <c r="L16" s="666"/>
      <c r="M16" s="666"/>
      <c r="N16" s="666"/>
      <c r="O16" s="666"/>
      <c r="P16" s="666"/>
      <c r="Q16" s="666"/>
      <c r="R16" s="666"/>
      <c r="S16" s="666"/>
      <c r="T16" s="666"/>
      <c r="U16" s="666"/>
      <c r="V16" s="666"/>
      <c r="W16" s="666"/>
      <c r="X16" s="666"/>
      <c r="Y16" s="666"/>
      <c r="Z16" s="666"/>
      <c r="AA16" s="666"/>
      <c r="AB16" s="666"/>
      <c r="AC16" s="666"/>
      <c r="AD16" s="666"/>
      <c r="AE16" s="710"/>
      <c r="AG16" s="693"/>
      <c r="AM16" s="685"/>
      <c r="AN16" s="693"/>
      <c r="AQ16" s="685"/>
      <c r="AR16" s="693"/>
      <c r="AU16" s="685"/>
      <c r="AZ16" s="830">
        <v>9.2700000000000005E-2</v>
      </c>
      <c r="BA16" s="836"/>
      <c r="BD16" s="761">
        <v>1</v>
      </c>
      <c r="BE16" s="767">
        <f t="shared" ref="BE16:BJ16" si="30">SUBTOTAL(9,BE17:BE18)</f>
        <v>9.2700000000000005E-2</v>
      </c>
      <c r="BF16" s="762">
        <f t="shared" si="30"/>
        <v>9.2700000000000005E-2</v>
      </c>
      <c r="BG16" s="767">
        <f t="shared" si="30"/>
        <v>9.2700000000000005E-2</v>
      </c>
      <c r="BH16" s="762">
        <f t="shared" si="30"/>
        <v>9.2700000000000005E-2</v>
      </c>
      <c r="BI16" s="757">
        <f t="shared" si="30"/>
        <v>0</v>
      </c>
      <c r="BJ16" s="762">
        <f t="shared" si="30"/>
        <v>0</v>
      </c>
      <c r="BL16" s="693"/>
      <c r="BM16" s="697">
        <f>SUBTOTAL(9,BM17:BM18)</f>
        <v>0</v>
      </c>
      <c r="BN16" s="697">
        <f t="shared" ref="BN16:CH16" si="31">SUBTOTAL(9,BN17:BN18)</f>
        <v>4.6350000000000002E-2</v>
      </c>
      <c r="BO16" s="697">
        <f t="shared" si="31"/>
        <v>6.9525000000000003E-2</v>
      </c>
      <c r="BP16" s="697">
        <f t="shared" si="31"/>
        <v>9.2700000000000005E-2</v>
      </c>
      <c r="BQ16" s="697">
        <f t="shared" si="31"/>
        <v>9.2700000000000005E-2</v>
      </c>
      <c r="BR16" s="697">
        <f t="shared" si="31"/>
        <v>9.2700000000000005E-2</v>
      </c>
      <c r="BS16" s="697">
        <f t="shared" si="31"/>
        <v>9.2700000000000005E-2</v>
      </c>
      <c r="BT16" s="697">
        <f t="shared" si="31"/>
        <v>9.2700000000000005E-2</v>
      </c>
      <c r="BU16" s="697">
        <f t="shared" si="31"/>
        <v>9.2700000000000005E-2</v>
      </c>
      <c r="BV16" s="697">
        <f t="shared" si="31"/>
        <v>9.2700000000000005E-2</v>
      </c>
      <c r="BW16" s="697">
        <f t="shared" si="31"/>
        <v>9.2700000000000005E-2</v>
      </c>
      <c r="BX16" s="697">
        <f t="shared" si="31"/>
        <v>9.2700000000000005E-2</v>
      </c>
      <c r="BY16" s="697">
        <f t="shared" si="31"/>
        <v>9.2700000000000005E-2</v>
      </c>
      <c r="BZ16" s="697">
        <f t="shared" si="31"/>
        <v>9.2700000000000005E-2</v>
      </c>
      <c r="CA16" s="697">
        <f t="shared" si="31"/>
        <v>9.2700000000000005E-2</v>
      </c>
      <c r="CB16" s="697">
        <f t="shared" si="31"/>
        <v>9.2700000000000005E-2</v>
      </c>
      <c r="CC16" s="697">
        <f t="shared" si="31"/>
        <v>9.2700000000000005E-2</v>
      </c>
      <c r="CD16" s="697">
        <f t="shared" si="31"/>
        <v>9.2700000000000005E-2</v>
      </c>
      <c r="CE16" s="697">
        <f t="shared" si="31"/>
        <v>9.2700000000000005E-2</v>
      </c>
      <c r="CF16" s="697">
        <f t="shared" si="31"/>
        <v>9.2700000000000005E-2</v>
      </c>
      <c r="CG16" s="697">
        <f t="shared" si="31"/>
        <v>9.2700000000000005E-2</v>
      </c>
      <c r="CH16" s="697">
        <f t="shared" si="31"/>
        <v>9.2700000000000005E-2</v>
      </c>
      <c r="CI16" s="685"/>
      <c r="CK16" s="693"/>
      <c r="CL16" s="697">
        <f>SUBTOTAL(9,CL17:CL18)</f>
        <v>0</v>
      </c>
      <c r="CM16" s="697">
        <f t="shared" ref="CM16:DG16" si="32">SUBTOTAL(9,CM17:CM18)</f>
        <v>0</v>
      </c>
      <c r="CN16" s="697">
        <f t="shared" si="32"/>
        <v>0</v>
      </c>
      <c r="CO16" s="697">
        <f t="shared" si="32"/>
        <v>0</v>
      </c>
      <c r="CP16" s="697">
        <f t="shared" si="32"/>
        <v>0</v>
      </c>
      <c r="CQ16" s="697">
        <f t="shared" si="32"/>
        <v>0</v>
      </c>
      <c r="CR16" s="697">
        <f t="shared" si="32"/>
        <v>0</v>
      </c>
      <c r="CS16" s="697">
        <f t="shared" si="32"/>
        <v>0</v>
      </c>
      <c r="CT16" s="697">
        <f t="shared" si="32"/>
        <v>0</v>
      </c>
      <c r="CU16" s="697">
        <f t="shared" si="32"/>
        <v>0</v>
      </c>
      <c r="CV16" s="697">
        <f t="shared" si="32"/>
        <v>0</v>
      </c>
      <c r="CW16" s="697">
        <f t="shared" si="32"/>
        <v>0</v>
      </c>
      <c r="CX16" s="697">
        <f t="shared" si="32"/>
        <v>0</v>
      </c>
      <c r="CY16" s="697">
        <f t="shared" si="32"/>
        <v>0</v>
      </c>
      <c r="CZ16" s="697">
        <f t="shared" si="32"/>
        <v>0</v>
      </c>
      <c r="DA16" s="697">
        <f t="shared" si="32"/>
        <v>0</v>
      </c>
      <c r="DB16" s="697">
        <f t="shared" si="32"/>
        <v>0</v>
      </c>
      <c r="DC16" s="697">
        <f t="shared" si="32"/>
        <v>0</v>
      </c>
      <c r="DD16" s="697">
        <f t="shared" si="32"/>
        <v>0</v>
      </c>
      <c r="DE16" s="697">
        <f t="shared" si="32"/>
        <v>0</v>
      </c>
      <c r="DF16" s="697">
        <f t="shared" si="32"/>
        <v>0</v>
      </c>
      <c r="DG16" s="697">
        <f t="shared" si="32"/>
        <v>0</v>
      </c>
      <c r="DH16" s="685"/>
      <c r="DK16" s="693"/>
      <c r="DL16" s="697">
        <f>SUBTOTAL(9,DL17:DL18)</f>
        <v>0</v>
      </c>
      <c r="DM16" s="697">
        <f t="shared" ref="DM16:EG16" si="33">SUBTOTAL(9,DM17:DM18)</f>
        <v>6.9525000000000003E-2</v>
      </c>
      <c r="DN16" s="697">
        <f t="shared" si="33"/>
        <v>9.2700000000000005E-2</v>
      </c>
      <c r="DO16" s="697">
        <f t="shared" si="33"/>
        <v>9.2700000000000005E-2</v>
      </c>
      <c r="DP16" s="697">
        <f t="shared" si="33"/>
        <v>9.2700000000000005E-2</v>
      </c>
      <c r="DQ16" s="697">
        <f t="shared" si="33"/>
        <v>9.2700000000000005E-2</v>
      </c>
      <c r="DR16" s="697">
        <f t="shared" si="33"/>
        <v>9.2700000000000005E-2</v>
      </c>
      <c r="DS16" s="697">
        <f t="shared" si="33"/>
        <v>9.2700000000000005E-2</v>
      </c>
      <c r="DT16" s="697">
        <f t="shared" si="33"/>
        <v>9.2700000000000005E-2</v>
      </c>
      <c r="DU16" s="697">
        <f t="shared" si="33"/>
        <v>9.2700000000000005E-2</v>
      </c>
      <c r="DV16" s="697">
        <f t="shared" si="33"/>
        <v>9.2700000000000005E-2</v>
      </c>
      <c r="DW16" s="697">
        <f t="shared" si="33"/>
        <v>9.2700000000000005E-2</v>
      </c>
      <c r="DX16" s="697">
        <f t="shared" si="33"/>
        <v>9.2700000000000005E-2</v>
      </c>
      <c r="DY16" s="697">
        <f t="shared" si="33"/>
        <v>9.2700000000000005E-2</v>
      </c>
      <c r="DZ16" s="697">
        <f t="shared" si="33"/>
        <v>9.2700000000000005E-2</v>
      </c>
      <c r="EA16" s="697">
        <f t="shared" si="33"/>
        <v>9.2700000000000005E-2</v>
      </c>
      <c r="EB16" s="697">
        <f t="shared" si="33"/>
        <v>9.2700000000000005E-2</v>
      </c>
      <c r="EC16" s="697">
        <f t="shared" si="33"/>
        <v>9.2700000000000005E-2</v>
      </c>
      <c r="ED16" s="697">
        <f t="shared" si="33"/>
        <v>9.2700000000000005E-2</v>
      </c>
      <c r="EE16" s="697">
        <f t="shared" si="33"/>
        <v>9.2700000000000005E-2</v>
      </c>
      <c r="EF16" s="697">
        <f t="shared" si="33"/>
        <v>9.2700000000000005E-2</v>
      </c>
      <c r="EG16" s="697">
        <f t="shared" si="33"/>
        <v>9.2700000000000005E-2</v>
      </c>
      <c r="EH16" s="698"/>
    </row>
    <row r="17" spans="1:138" ht="14">
      <c r="A17" s="686" t="s">
        <v>197</v>
      </c>
      <c r="B17" s="791" t="s">
        <v>248</v>
      </c>
      <c r="C17" s="669" t="s">
        <v>195</v>
      </c>
      <c r="D17" s="668"/>
      <c r="E17" s="668"/>
      <c r="F17" s="670">
        <v>0.04</v>
      </c>
      <c r="G17" s="668"/>
      <c r="H17" s="743">
        <v>46113</v>
      </c>
      <c r="I17" s="738"/>
      <c r="J17" s="743">
        <v>46113</v>
      </c>
      <c r="K17" s="742">
        <f>H17+((O17-H17)*0.5)</f>
        <v>46118</v>
      </c>
      <c r="L17" s="738"/>
      <c r="M17" s="743">
        <v>46114</v>
      </c>
      <c r="N17" s="738"/>
      <c r="O17" s="742">
        <f>H17+((W17-H17)*0.5)</f>
        <v>46123</v>
      </c>
      <c r="P17" s="668"/>
      <c r="Q17" s="742">
        <v>46118</v>
      </c>
      <c r="R17" s="742"/>
      <c r="S17" s="742">
        <f>O17+((W17-O17)*0.5)</f>
        <v>46128</v>
      </c>
      <c r="T17" s="742"/>
      <c r="U17" s="742">
        <v>46125</v>
      </c>
      <c r="V17" s="742"/>
      <c r="W17" s="740">
        <v>46133</v>
      </c>
      <c r="X17" s="742"/>
      <c r="Y17" s="742">
        <v>46131</v>
      </c>
      <c r="Z17" s="742"/>
      <c r="AA17" s="742"/>
      <c r="AB17" s="738"/>
      <c r="AC17" s="738"/>
      <c r="AD17" s="738"/>
      <c r="AE17" s="711">
        <f>AN17</f>
        <v>0.04</v>
      </c>
      <c r="AG17" s="717">
        <f>IF(AND($Y17&lt;&gt;0,$Y17&lt;=$BL$6),$Y$12,IF(AND($U17&lt;&gt;0,$U17&lt;=$BL$6),$U$12,IF(AND($Q17&lt;&gt;0,$Q17&lt;=$BL$6),$Q$12,IF(AND($M17&lt;&gt;0,$M17&lt;=$BL$6),$M$12,IF(AND($J17&lt;&gt;0,$J17&lt;=$BL$6),$J$12,0)))))</f>
        <v>1</v>
      </c>
      <c r="AH17" s="707">
        <f>AI17-AG17</f>
        <v>0</v>
      </c>
      <c r="AI17" s="708">
        <f>IF(AND($Y17&lt;&gt;0,$Y17&lt;=$BL$5),$Y$12,IF(AND($U17&lt;&gt;0,$U17&lt;=$BL$5),$U$12,IF(AND($Q17&lt;&gt;0,$Q17&lt;=$BL$5),$Q$12,IF(AND($M17&lt;&gt;0,$M17&lt;=$BL$5),$M$12,IF(AND($J17&lt;&gt;0,$J17&lt;=$BL$5),$J$12,0)))))</f>
        <v>1</v>
      </c>
      <c r="AJ17" s="718">
        <f>IF(AND($W17&lt;&gt;0,$W17&lt;=$BL$5),$W$12,IF(AND($S17&lt;&gt;0,$S17&lt;=$BL$5),$S$12,IF(AND(#REF!&lt;&gt;0,#REF!&lt;=$BL$5),$O$12,IF(AND($K17&lt;&gt;0,$K17&lt;=$BL$5),$K$12,IF(AND($H17&lt;&gt;0,$H17&lt;=$BL$5),$H$12,0)))))</f>
        <v>1</v>
      </c>
      <c r="AK17" s="718">
        <f>IF(AND($X17&lt;&gt;0,$X17&lt;=$BL$5),$X$12,IF(AND($T17&lt;&gt;0,$T17&lt;=$BL$5),$T$12,IF(AND($P17&lt;&gt;0,$P17&lt;=$BL$5),$P$12,IF(AND($L17&lt;&gt;0,$L17&lt;=$BL$5),$L$12,IF(AND($I17&lt;&gt;0,$I17&lt;=$BL$5),$I$12,0)))))</f>
        <v>0</v>
      </c>
      <c r="AL17" s="719">
        <f>AI17-AJ17</f>
        <v>0</v>
      </c>
      <c r="AM17" s="720">
        <f>AI17-AK17</f>
        <v>1</v>
      </c>
      <c r="AN17" s="724">
        <f>AI17*F17</f>
        <v>0.04</v>
      </c>
      <c r="AO17" s="725">
        <f>AJ17*F17</f>
        <v>0.04</v>
      </c>
      <c r="AP17" s="725">
        <f>AK17*F17</f>
        <v>0</v>
      </c>
      <c r="AQ17" s="726">
        <f>AN17-AO17</f>
        <v>0</v>
      </c>
      <c r="AR17" s="681"/>
      <c r="AU17" s="680"/>
      <c r="AZ17" s="831">
        <v>0.04</v>
      </c>
      <c r="BA17" s="837"/>
      <c r="BD17" s="500" t="s">
        <v>197</v>
      </c>
      <c r="BE17" s="768">
        <f>AG17*F17</f>
        <v>0.04</v>
      </c>
      <c r="BF17" s="769">
        <f>AI17*F17</f>
        <v>0.04</v>
      </c>
      <c r="BG17" s="768">
        <f>IF(AND($W17&lt;&gt;0,$W17&lt;=$BL$6),$W$12,IF(AND($S17&lt;&gt;0,$S17&lt;=$BL$6),$S$12,IF(AND($O17&lt;&gt;0,$O17&lt;=$BL$6),$O$12,IF(AND($K17&lt;&gt;0,$K17&lt;=$BL$6),$K$12,IF(AND($H17&lt;&gt;0,$H17&lt;=$BL$6),$H$12,0)))))*$F17</f>
        <v>0.04</v>
      </c>
      <c r="BH17" s="763">
        <f>IF(AND($W17&lt;&gt;0,$W17&lt;=$BL$5),$W$12,IF(AND($S17&lt;&gt;0,$S17&lt;=$BL$5),$S$12,IF(AND($O17&lt;&gt;0,$O17&lt;=$BL$5),$O$12,IF(AND($K17&lt;&gt;0,$K17&lt;=$BL$5),$K$12,IF(AND($H17&lt;&gt;0,$H17&lt;=$BL$5),$H$12,0)))))*$F17</f>
        <v>0.04</v>
      </c>
      <c r="BI17" s="758">
        <f>IF(AND($X17&lt;&gt;0,$X17&lt;=$BL$6),$X$12,IF(AND($T17&lt;&gt;0,$T17&lt;=$BL$6),$T$12,IF(AND($P17&lt;&gt;0,$P17&lt;=$BL$6),$P$12,IF(AND($L17&lt;&gt;0,$L17&lt;=$BL$6),$L$12,IF(AND($I17&lt;&gt;0,$I17&lt;=$BL$6),$I$12,0)))))*$F17</f>
        <v>0</v>
      </c>
      <c r="BJ17" s="763">
        <f>IF(AND($X17&lt;&gt;0,$X17&lt;=$BL$5),$X$12,IF(AND($T17&lt;&gt;0,$T17&lt;=$BL$5),$T$12,IF(AND($P17&lt;&gt;0,$P17&lt;=$BL$5),$P$12,IF(AND($L17&lt;&gt;0,$L17&lt;=$BL$5),$L$12,IF(AND($I17&lt;&gt;0,$I17&lt;=$BL$5),$I$12,0)))))*$F17</f>
        <v>0</v>
      </c>
      <c r="BL17" s="681"/>
      <c r="BM17" s="695">
        <v>0</v>
      </c>
      <c r="BN17" s="695">
        <f>IF(AND($W17&lt;&gt;0,$W17&lt;=BN$12),$W$12*$F17,IF(AND($S17&lt;&gt;0,$S17&lt;=BN$12),$S$12*$F17,IF(AND($O17&lt;&gt;0,$O17&lt;=BN$12),$O$12*$F17,IF(AND($K17&lt;&gt;0,$K17&lt;=BN$12),$K$12*$F17,IF(AND($H17&lt;&gt;0,$H17&lt;=BN$12),$H$12*$F17,0)))))</f>
        <v>0.02</v>
      </c>
      <c r="BO17" s="695">
        <f t="shared" ref="BO17:CG35" si="34">IF(AND($W17&lt;&gt;0,$W17&lt;=BO$12),$W$12*$F17,IF(AND($S17&lt;&gt;0,$S17&lt;=BO$12),$S$12*$F17,IF(AND($O17&lt;&gt;0,$O17&lt;=BO$12),$O$12*$F17,IF(AND($K17&lt;&gt;0,$K17&lt;=BO$12),$K$12*$F17,IF(AND($H17&lt;&gt;0,$H17&lt;=BO$12),$H$12*$F17,0)))))</f>
        <v>0.03</v>
      </c>
      <c r="BP17" s="695">
        <f t="shared" si="34"/>
        <v>0.04</v>
      </c>
      <c r="BQ17" s="695">
        <f t="shared" si="34"/>
        <v>0.04</v>
      </c>
      <c r="BR17" s="695">
        <f t="shared" si="34"/>
        <v>0.04</v>
      </c>
      <c r="BS17" s="695">
        <f t="shared" si="34"/>
        <v>0.04</v>
      </c>
      <c r="BT17" s="695">
        <f t="shared" si="34"/>
        <v>0.04</v>
      </c>
      <c r="BU17" s="695">
        <f t="shared" si="34"/>
        <v>0.04</v>
      </c>
      <c r="BV17" s="695">
        <f t="shared" si="34"/>
        <v>0.04</v>
      </c>
      <c r="BW17" s="695">
        <f t="shared" si="34"/>
        <v>0.04</v>
      </c>
      <c r="BX17" s="695">
        <f t="shared" si="34"/>
        <v>0.04</v>
      </c>
      <c r="BY17" s="695">
        <f t="shared" si="34"/>
        <v>0.04</v>
      </c>
      <c r="BZ17" s="695">
        <f t="shared" si="34"/>
        <v>0.04</v>
      </c>
      <c r="CA17" s="695">
        <f t="shared" si="34"/>
        <v>0.04</v>
      </c>
      <c r="CB17" s="695">
        <f t="shared" si="34"/>
        <v>0.04</v>
      </c>
      <c r="CC17" s="695">
        <f t="shared" si="34"/>
        <v>0.04</v>
      </c>
      <c r="CD17" s="695">
        <f t="shared" si="34"/>
        <v>0.04</v>
      </c>
      <c r="CE17" s="695">
        <f t="shared" si="34"/>
        <v>0.04</v>
      </c>
      <c r="CF17" s="695">
        <f t="shared" si="34"/>
        <v>0.04</v>
      </c>
      <c r="CG17" s="695">
        <f t="shared" si="34"/>
        <v>0.04</v>
      </c>
      <c r="CH17" s="695">
        <f>IF(AND($W17&lt;&gt;0,$W17&lt;=CH$12),$W$12*$F17,IF(AND($S17&lt;&gt;0,$S17&lt;=CH$12),$S$12*$F17,IF(AND($O17&lt;&gt;0,$O17&lt;=CH$12),$O$12*$F17,IF(AND($K17&lt;&gt;0,$K17&lt;=CH$12),$K$12*$F17,IF(AND($H17&lt;&gt;0,$H17&lt;=CH$12),$H$12*$F17,0)))))</f>
        <v>0.04</v>
      </c>
      <c r="CI17" s="680"/>
      <c r="CK17" s="681"/>
      <c r="CL17" s="695">
        <v>0</v>
      </c>
      <c r="CM17" s="695">
        <f>IF(AND($X17&lt;&gt;0,$X17&lt;=CM$12),$X$12*$F17,IF(AND($T17&lt;&gt;0,$T17&lt;=CM$12),$T$12*$F17,IF(AND($P17&lt;&gt;0,$P17&lt;=CM$12),$P$12*$F17,IF(AND($L17&lt;&gt;0,$L17&lt;=CM$12),$L$12*$F17,IF(AND($I17&lt;&gt;0,$I17&lt;=CM$12),$I$12*$F17,0)))))</f>
        <v>0</v>
      </c>
      <c r="CN17" s="695">
        <f t="shared" ref="CN17:DG34" si="35">IF(AND($X17&lt;&gt;0,$X17&lt;=CN$12),$X$12*$F17,IF(AND($T17&lt;&gt;0,$T17&lt;=CN$12),$T$12*$F17,IF(AND($P17&lt;&gt;0,$P17&lt;=CN$12),$P$12*$F17,IF(AND($L17&lt;&gt;0,$L17&lt;=CN$12),$L$12*$F17,IF(AND($I17&lt;&gt;0,$I17&lt;=CN$12),$I$12*$F17,0)))))</f>
        <v>0</v>
      </c>
      <c r="CO17" s="695">
        <f t="shared" si="35"/>
        <v>0</v>
      </c>
      <c r="CP17" s="695">
        <f t="shared" si="35"/>
        <v>0</v>
      </c>
      <c r="CQ17" s="695">
        <f t="shared" si="35"/>
        <v>0</v>
      </c>
      <c r="CR17" s="695">
        <f t="shared" si="35"/>
        <v>0</v>
      </c>
      <c r="CS17" s="695">
        <f t="shared" si="35"/>
        <v>0</v>
      </c>
      <c r="CT17" s="695">
        <f t="shared" si="35"/>
        <v>0</v>
      </c>
      <c r="CU17" s="695">
        <f t="shared" si="35"/>
        <v>0</v>
      </c>
      <c r="CV17" s="695">
        <f t="shared" si="35"/>
        <v>0</v>
      </c>
      <c r="CW17" s="695">
        <f t="shared" si="35"/>
        <v>0</v>
      </c>
      <c r="CX17" s="695">
        <f t="shared" si="35"/>
        <v>0</v>
      </c>
      <c r="CY17" s="695">
        <f t="shared" si="35"/>
        <v>0</v>
      </c>
      <c r="CZ17" s="695">
        <f t="shared" si="35"/>
        <v>0</v>
      </c>
      <c r="DA17" s="695">
        <f t="shared" si="35"/>
        <v>0</v>
      </c>
      <c r="DB17" s="695">
        <f t="shared" si="35"/>
        <v>0</v>
      </c>
      <c r="DC17" s="695">
        <f t="shared" si="35"/>
        <v>0</v>
      </c>
      <c r="DD17" s="695">
        <f t="shared" si="35"/>
        <v>0</v>
      </c>
      <c r="DE17" s="695">
        <f t="shared" si="35"/>
        <v>0</v>
      </c>
      <c r="DF17" s="695">
        <f t="shared" si="35"/>
        <v>0</v>
      </c>
      <c r="DG17" s="695">
        <f t="shared" si="35"/>
        <v>0</v>
      </c>
      <c r="DH17" s="680"/>
      <c r="DK17" s="681"/>
      <c r="DL17" s="695">
        <v>0</v>
      </c>
      <c r="DM17" s="695">
        <f>IF(AND($Y17&lt;&gt;0,$Y17&lt;=DM$12),$Y$12*$F17,IF(AND($U17&lt;&gt;0,$U17&lt;=DM$12),$U$12*$F17,IF(AND($Q17&lt;&gt;0,$Q17&lt;=DM$12),$Q$12*$F17,IF(AND($M17&lt;&gt;0,$M17&lt;=DM$12),$M$12*$F17,IF(AND($J17&lt;&gt;0,$J17&lt;=DM$12),$J$12*$F17,0)))))</f>
        <v>0.03</v>
      </c>
      <c r="DN17" s="695">
        <f t="shared" ref="DN17:EG24" si="36">IF(AND($Y17&lt;&gt;0,$Y17&lt;=DN$12),$Y$12*$F17,IF(AND($U17&lt;&gt;0,$U17&lt;=DN$12),$U$12*$F17,IF(AND($Q17&lt;&gt;0,$Q17&lt;=DN$12),$Q$12*$F17,IF(AND($M17&lt;&gt;0,$M17&lt;=DN$12),$M$12*$F17,IF(AND($J17&lt;&gt;0,$J17&lt;=DN$12),$J$12*$F17,0)))))</f>
        <v>0.04</v>
      </c>
      <c r="DO17" s="695">
        <f t="shared" si="36"/>
        <v>0.04</v>
      </c>
      <c r="DP17" s="695">
        <f t="shared" si="36"/>
        <v>0.04</v>
      </c>
      <c r="DQ17" s="695">
        <f t="shared" si="36"/>
        <v>0.04</v>
      </c>
      <c r="DR17" s="695">
        <f t="shared" si="36"/>
        <v>0.04</v>
      </c>
      <c r="DS17" s="695">
        <f t="shared" si="36"/>
        <v>0.04</v>
      </c>
      <c r="DT17" s="695">
        <f t="shared" si="36"/>
        <v>0.04</v>
      </c>
      <c r="DU17" s="695">
        <f t="shared" si="36"/>
        <v>0.04</v>
      </c>
      <c r="DV17" s="695">
        <f t="shared" si="36"/>
        <v>0.04</v>
      </c>
      <c r="DW17" s="695">
        <f t="shared" si="36"/>
        <v>0.04</v>
      </c>
      <c r="DX17" s="695">
        <f t="shared" si="36"/>
        <v>0.04</v>
      </c>
      <c r="DY17" s="695">
        <f t="shared" si="36"/>
        <v>0.04</v>
      </c>
      <c r="DZ17" s="695">
        <f t="shared" si="36"/>
        <v>0.04</v>
      </c>
      <c r="EA17" s="695">
        <f t="shared" si="36"/>
        <v>0.04</v>
      </c>
      <c r="EB17" s="695">
        <f t="shared" si="36"/>
        <v>0.04</v>
      </c>
      <c r="EC17" s="695">
        <f t="shared" si="36"/>
        <v>0.04</v>
      </c>
      <c r="ED17" s="695">
        <f t="shared" si="36"/>
        <v>0.04</v>
      </c>
      <c r="EE17" s="695">
        <f t="shared" si="36"/>
        <v>0.04</v>
      </c>
      <c r="EF17" s="695">
        <f t="shared" si="36"/>
        <v>0.04</v>
      </c>
      <c r="EG17" s="695">
        <f t="shared" si="36"/>
        <v>0.04</v>
      </c>
      <c r="EH17" s="699"/>
    </row>
    <row r="18" spans="1:138" ht="14">
      <c r="A18" s="686" t="s">
        <v>198</v>
      </c>
      <c r="B18" s="791" t="s">
        <v>249</v>
      </c>
      <c r="C18" s="669" t="s">
        <v>196</v>
      </c>
      <c r="D18" s="668"/>
      <c r="F18" s="671">
        <v>5.2699999999999997E-2</v>
      </c>
      <c r="G18" s="668"/>
      <c r="H18" s="743">
        <v>46113</v>
      </c>
      <c r="I18" s="738"/>
      <c r="J18" s="743">
        <v>46113</v>
      </c>
      <c r="K18" s="742">
        <f>H18+((O18-H18)*0.5)</f>
        <v>46118</v>
      </c>
      <c r="L18" s="738"/>
      <c r="M18" s="743">
        <v>46114</v>
      </c>
      <c r="N18" s="738"/>
      <c r="O18" s="742">
        <f>H18+((W18-H18)*0.5)</f>
        <v>46123</v>
      </c>
      <c r="P18" s="668"/>
      <c r="Q18" s="742">
        <v>46118</v>
      </c>
      <c r="R18" s="742"/>
      <c r="S18" s="742">
        <f>O18+((W18-O18)*0.5)</f>
        <v>46128</v>
      </c>
      <c r="T18" s="742"/>
      <c r="U18" s="742">
        <v>46125</v>
      </c>
      <c r="V18" s="742"/>
      <c r="W18" s="740">
        <v>46133</v>
      </c>
      <c r="X18" s="742"/>
      <c r="Y18" s="742">
        <v>46131</v>
      </c>
      <c r="Z18" s="742"/>
      <c r="AA18" s="742"/>
      <c r="AB18" s="738"/>
      <c r="AC18" s="738"/>
      <c r="AD18" s="738"/>
      <c r="AE18" s="711">
        <f>AN18</f>
        <v>5.2699999999999997E-2</v>
      </c>
      <c r="AG18" s="717">
        <f>IF(AND($Y18&lt;&gt;0,$Y18&lt;=$BL$6),$Y$12,IF(AND($U18&lt;&gt;0,$U18&lt;=$BL$6),$U$12,IF(AND($Q18&lt;&gt;0,$Q18&lt;=$BL$6),$Q$12,IF(AND($M18&lt;&gt;0,$M18&lt;=$BL$6),$M$12,IF(AND($J18&lt;&gt;0,$J18&lt;=$BL$6),$J$12,0)))))</f>
        <v>1</v>
      </c>
      <c r="AH18" s="707">
        <f>AI18-AG18</f>
        <v>0</v>
      </c>
      <c r="AI18" s="708">
        <f>IF(AND($Y18&lt;&gt;0,$Y18&lt;=$BL$5),$Y$12,IF(AND($U18&lt;&gt;0,$U18&lt;=$BL$5),$U$12,IF(AND($Q18&lt;&gt;0,$Q18&lt;=$BL$5),$Q$12,IF(AND($M18&lt;&gt;0,$M18&lt;=$BL$5),$M$12,IF(AND($J18&lt;&gt;0,$J18&lt;=$BL$5),$J$12,0)))))</f>
        <v>1</v>
      </c>
      <c r="AJ18" s="718">
        <f>IF(AND($W18&lt;&gt;0,$W18&lt;=$BL$5),$W$12,IF(AND($S18&lt;&gt;0,$S18&lt;=$BL$5),$S$12,IF(AND($O18&lt;&gt;0,$O18&lt;=$BL$5),$O$12,IF(AND($K18&lt;&gt;0,$K18&lt;=$BL$5),$K$12,IF(AND($H18&lt;&gt;0,$H18&lt;=$BL$5),$H$12,0)))))</f>
        <v>1</v>
      </c>
      <c r="AK18" s="718">
        <f t="shared" ref="AK18:AK36" si="37">IF(AND($X18&lt;&gt;0,$X18&lt;=$BL$5),$X$12,IF(AND($T18&lt;&gt;0,$T18&lt;=$BL$5),$T$12,IF(AND($P18&lt;&gt;0,$P18&lt;=$BL$5),$P$12,IF(AND($L18&lt;&gt;0,$L18&lt;=$BL$5),$L$12,IF(AND($I18&lt;&gt;0,$I18&lt;=$BL$5),$I$12,0)))))</f>
        <v>0</v>
      </c>
      <c r="AL18" s="719">
        <f>AI18-AJ18</f>
        <v>0</v>
      </c>
      <c r="AM18" s="720">
        <f>AI18-AK18</f>
        <v>1</v>
      </c>
      <c r="AN18" s="724">
        <f>AI18*F18</f>
        <v>5.2699999999999997E-2</v>
      </c>
      <c r="AO18" s="725">
        <f>AJ18*F18</f>
        <v>5.2699999999999997E-2</v>
      </c>
      <c r="AP18" s="725">
        <f>AK18*F18</f>
        <v>0</v>
      </c>
      <c r="AQ18" s="726">
        <f>AN18-AO18</f>
        <v>0</v>
      </c>
      <c r="AR18" s="681"/>
      <c r="AU18" s="680"/>
      <c r="AZ18" s="831">
        <v>5.2699999999999997E-2</v>
      </c>
      <c r="BA18" s="837"/>
      <c r="BD18" s="500" t="s">
        <v>198</v>
      </c>
      <c r="BE18" s="768">
        <f>AG18*F18</f>
        <v>5.2699999999999997E-2</v>
      </c>
      <c r="BF18" s="769">
        <f>AI18*F18</f>
        <v>5.2699999999999997E-2</v>
      </c>
      <c r="BG18" s="768">
        <f>IF(AND($W18&lt;&gt;0,$W18&lt;=$BL$6),$W$12,IF(AND($S18&lt;&gt;0,$S18&lt;=$BL$6),$S$12,IF(AND($O18&lt;&gt;0,$O18&lt;=$BL$6),$O$12,IF(AND($K18&lt;&gt;0,$K18&lt;=$BL$6),$K$12,IF(AND($H18&lt;&gt;0,$H18&lt;=$BL$6),$H$12,0)))))*$F18</f>
        <v>5.2699999999999997E-2</v>
      </c>
      <c r="BH18" s="763">
        <f>IF(AND($W18&lt;&gt;0,$W18&lt;=$BL$5),$W$12,IF(AND($S18&lt;&gt;0,$S18&lt;=$BL$5),$S$12,IF(AND($O18&lt;&gt;0,$O18&lt;=$BL$5),$O$12,IF(AND($K18&lt;&gt;0,$K18&lt;=$BL$5),$K$12,IF(AND($H18&lt;&gt;0,$H18&lt;=$BL$5),$H$12,0)))))*$F18</f>
        <v>5.2699999999999997E-2</v>
      </c>
      <c r="BI18" s="758">
        <f>IF(AND($X18&lt;&gt;0,$X18&lt;=$BL$6),$X$12,IF(AND($T18&lt;&gt;0,$T18&lt;=$BL$6),$T$12,IF(AND($P18&lt;&gt;0,$P18&lt;=$BL$6),$P$12,IF(AND($L18&lt;&gt;0,$L18&lt;=$BL$6),$L$12,IF(AND($I18&lt;&gt;0,$I18&lt;=$BL$6),$I$12,0)))))*$F18</f>
        <v>0</v>
      </c>
      <c r="BJ18" s="763">
        <f>IF(AND($X18&lt;&gt;0,$X18&lt;=$BL$5),$X$12,IF(AND($T18&lt;&gt;0,$T18&lt;=$BL$5),$T$12,IF(AND($P18&lt;&gt;0,$P18&lt;=$BL$5),$P$12,IF(AND($L18&lt;&gt;0,$L18&lt;=$BL$5),$L$12,IF(AND($I18&lt;&gt;0,$I18&lt;=$BL$5),$I$12,0)))))*$F18</f>
        <v>0</v>
      </c>
      <c r="BL18" s="681"/>
      <c r="BM18" s="695">
        <v>0</v>
      </c>
      <c r="BN18" s="695">
        <f>IF(AND($W18&lt;&gt;0,$W18&lt;=BN$12),$W$12*$F18,IF(AND($S18&lt;&gt;0,$S18&lt;=BN$12),$S$12*$F18,IF(AND($O18&lt;&gt;0,$O18&lt;=BN$12),$O$12*$F18,IF(AND($K18&lt;&gt;0,$K18&lt;=BN$12),$K$12*$F18,IF(AND($H18&lt;&gt;0,$H18&lt;=BN$12),$H$12*$F18,0)))))</f>
        <v>2.6349999999999998E-2</v>
      </c>
      <c r="BO18" s="695">
        <f t="shared" si="34"/>
        <v>3.9524999999999998E-2</v>
      </c>
      <c r="BP18" s="695">
        <f t="shared" si="34"/>
        <v>5.2699999999999997E-2</v>
      </c>
      <c r="BQ18" s="695">
        <f t="shared" si="34"/>
        <v>5.2699999999999997E-2</v>
      </c>
      <c r="BR18" s="695">
        <f t="shared" si="34"/>
        <v>5.2699999999999997E-2</v>
      </c>
      <c r="BS18" s="695">
        <f t="shared" si="34"/>
        <v>5.2699999999999997E-2</v>
      </c>
      <c r="BT18" s="695">
        <f t="shared" si="34"/>
        <v>5.2699999999999997E-2</v>
      </c>
      <c r="BU18" s="695">
        <f t="shared" si="34"/>
        <v>5.2699999999999997E-2</v>
      </c>
      <c r="BV18" s="695">
        <f t="shared" si="34"/>
        <v>5.2699999999999997E-2</v>
      </c>
      <c r="BW18" s="695">
        <f t="shared" si="34"/>
        <v>5.2699999999999997E-2</v>
      </c>
      <c r="BX18" s="695">
        <f t="shared" si="34"/>
        <v>5.2699999999999997E-2</v>
      </c>
      <c r="BY18" s="695">
        <f t="shared" si="34"/>
        <v>5.2699999999999997E-2</v>
      </c>
      <c r="BZ18" s="695">
        <f t="shared" si="34"/>
        <v>5.2699999999999997E-2</v>
      </c>
      <c r="CA18" s="695">
        <f t="shared" si="34"/>
        <v>5.2699999999999997E-2</v>
      </c>
      <c r="CB18" s="695">
        <f t="shared" si="34"/>
        <v>5.2699999999999997E-2</v>
      </c>
      <c r="CC18" s="695">
        <f t="shared" si="34"/>
        <v>5.2699999999999997E-2</v>
      </c>
      <c r="CD18" s="695">
        <f t="shared" si="34"/>
        <v>5.2699999999999997E-2</v>
      </c>
      <c r="CE18" s="695">
        <f t="shared" si="34"/>
        <v>5.2699999999999997E-2</v>
      </c>
      <c r="CF18" s="695">
        <f t="shared" si="34"/>
        <v>5.2699999999999997E-2</v>
      </c>
      <c r="CG18" s="695">
        <f t="shared" si="34"/>
        <v>5.2699999999999997E-2</v>
      </c>
      <c r="CH18" s="695">
        <f>IF(AND($W18&lt;&gt;0,$W18&lt;=CH$12),$W$12*$F18,IF(AND($S18&lt;&gt;0,$S18&lt;=CH$12),$S$12*$F18,IF(AND($O18&lt;&gt;0,$O18&lt;=CH$12),$O$12*$F18,IF(AND($K18&lt;&gt;0,$K18&lt;=CH$12),$K$12*$F18,IF(AND($H18&lt;&gt;0,$H18&lt;=CH$12),$H$12*$F18,0)))))</f>
        <v>5.2699999999999997E-2</v>
      </c>
      <c r="CI18" s="680"/>
      <c r="CK18" s="681"/>
      <c r="CL18" s="695">
        <v>0</v>
      </c>
      <c r="CM18" s="695">
        <f>IF(AND($X18&lt;&gt;0,$X18&lt;=CM$12),$X$12*$F18,IF(AND($T18&lt;&gt;0,$T18&lt;=CM$12),$T$12*$F18,IF(AND($P18&lt;&gt;0,$P18&lt;=CM$12),$P$12*$F18,IF(AND($L18&lt;&gt;0,$L18&lt;=CM$12),$L$12*$F18,IF(AND($I18&lt;&gt;0,$I18&lt;=CM$12),$I$12*$F18,0)))))</f>
        <v>0</v>
      </c>
      <c r="CN18" s="695">
        <f t="shared" si="35"/>
        <v>0</v>
      </c>
      <c r="CO18" s="695">
        <f t="shared" si="35"/>
        <v>0</v>
      </c>
      <c r="CP18" s="695">
        <f t="shared" si="35"/>
        <v>0</v>
      </c>
      <c r="CQ18" s="695">
        <f t="shared" si="35"/>
        <v>0</v>
      </c>
      <c r="CR18" s="695">
        <f t="shared" si="35"/>
        <v>0</v>
      </c>
      <c r="CS18" s="695">
        <f t="shared" si="35"/>
        <v>0</v>
      </c>
      <c r="CT18" s="695">
        <f t="shared" si="35"/>
        <v>0</v>
      </c>
      <c r="CU18" s="695">
        <f t="shared" si="35"/>
        <v>0</v>
      </c>
      <c r="CV18" s="695">
        <f t="shared" si="35"/>
        <v>0</v>
      </c>
      <c r="CW18" s="695">
        <f t="shared" si="35"/>
        <v>0</v>
      </c>
      <c r="CX18" s="695">
        <f t="shared" si="35"/>
        <v>0</v>
      </c>
      <c r="CY18" s="695">
        <f t="shared" si="35"/>
        <v>0</v>
      </c>
      <c r="CZ18" s="695">
        <f t="shared" si="35"/>
        <v>0</v>
      </c>
      <c r="DA18" s="695">
        <f t="shared" si="35"/>
        <v>0</v>
      </c>
      <c r="DB18" s="695">
        <f t="shared" si="35"/>
        <v>0</v>
      </c>
      <c r="DC18" s="695">
        <f t="shared" si="35"/>
        <v>0</v>
      </c>
      <c r="DD18" s="695">
        <f t="shared" si="35"/>
        <v>0</v>
      </c>
      <c r="DE18" s="695">
        <f t="shared" si="35"/>
        <v>0</v>
      </c>
      <c r="DF18" s="695">
        <f t="shared" si="35"/>
        <v>0</v>
      </c>
      <c r="DG18" s="695">
        <f t="shared" si="35"/>
        <v>0</v>
      </c>
      <c r="DH18" s="680"/>
      <c r="DK18" s="681"/>
      <c r="DL18" s="695">
        <v>0</v>
      </c>
      <c r="DM18" s="695">
        <f>IF(AND($Y18&lt;&gt;0,$Y18&lt;=DM$12),$Y$12*$F18,IF(AND($U18&lt;&gt;0,$U18&lt;=DM$12),$U$12*$F18,IF(AND($Q18&lt;&gt;0,$Q18&lt;=DM$12),$Q$12*$F18,IF(AND($M18&lt;&gt;0,$M18&lt;=DM$12),$M$12*$F18,IF(AND($J18&lt;&gt;0,$J18&lt;=DM$12),$J$12*$F18,0)))))</f>
        <v>3.9524999999999998E-2</v>
      </c>
      <c r="DN18" s="695">
        <f t="shared" si="36"/>
        <v>5.2699999999999997E-2</v>
      </c>
      <c r="DO18" s="695">
        <f t="shared" si="36"/>
        <v>5.2699999999999997E-2</v>
      </c>
      <c r="DP18" s="695">
        <f t="shared" si="36"/>
        <v>5.2699999999999997E-2</v>
      </c>
      <c r="DQ18" s="695">
        <f t="shared" si="36"/>
        <v>5.2699999999999997E-2</v>
      </c>
      <c r="DR18" s="695">
        <f t="shared" si="36"/>
        <v>5.2699999999999997E-2</v>
      </c>
      <c r="DS18" s="695">
        <f t="shared" si="36"/>
        <v>5.2699999999999997E-2</v>
      </c>
      <c r="DT18" s="695">
        <f t="shared" si="36"/>
        <v>5.2699999999999997E-2</v>
      </c>
      <c r="DU18" s="695">
        <f t="shared" si="36"/>
        <v>5.2699999999999997E-2</v>
      </c>
      <c r="DV18" s="695">
        <f t="shared" si="36"/>
        <v>5.2699999999999997E-2</v>
      </c>
      <c r="DW18" s="695">
        <f t="shared" si="36"/>
        <v>5.2699999999999997E-2</v>
      </c>
      <c r="DX18" s="695">
        <f t="shared" si="36"/>
        <v>5.2699999999999997E-2</v>
      </c>
      <c r="DY18" s="695">
        <f t="shared" si="36"/>
        <v>5.2699999999999997E-2</v>
      </c>
      <c r="DZ18" s="695">
        <f t="shared" si="36"/>
        <v>5.2699999999999997E-2</v>
      </c>
      <c r="EA18" s="695">
        <f t="shared" si="36"/>
        <v>5.2699999999999997E-2</v>
      </c>
      <c r="EB18" s="695">
        <f t="shared" si="36"/>
        <v>5.2699999999999997E-2</v>
      </c>
      <c r="EC18" s="695">
        <f t="shared" si="36"/>
        <v>5.2699999999999997E-2</v>
      </c>
      <c r="ED18" s="695">
        <f t="shared" si="36"/>
        <v>5.2699999999999997E-2</v>
      </c>
      <c r="EE18" s="695">
        <f t="shared" si="36"/>
        <v>5.2699999999999997E-2</v>
      </c>
      <c r="EF18" s="695">
        <f t="shared" si="36"/>
        <v>5.2699999999999997E-2</v>
      </c>
      <c r="EG18" s="695">
        <f t="shared" si="36"/>
        <v>5.2699999999999997E-2</v>
      </c>
      <c r="EH18" s="699"/>
    </row>
    <row r="19" spans="1:138" s="643" customFormat="1" ht="14">
      <c r="A19" s="684">
        <v>2</v>
      </c>
      <c r="B19" s="664"/>
      <c r="C19" s="665" t="s">
        <v>199</v>
      </c>
      <c r="D19" s="665"/>
      <c r="E19" s="666"/>
      <c r="F19" s="667">
        <f>SUBTOTAL(9,F20)</f>
        <v>5.1499999999999997E-2</v>
      </c>
      <c r="G19" s="666"/>
      <c r="H19" s="744"/>
      <c r="I19" s="744"/>
      <c r="J19" s="741"/>
      <c r="K19" s="741"/>
      <c r="L19" s="739"/>
      <c r="M19" s="744"/>
      <c r="N19" s="739"/>
      <c r="O19" s="741"/>
      <c r="P19" s="666"/>
      <c r="Q19" s="741"/>
      <c r="R19" s="741"/>
      <c r="S19" s="741"/>
      <c r="T19" s="741"/>
      <c r="U19" s="741"/>
      <c r="V19" s="741"/>
      <c r="W19" s="741"/>
      <c r="X19" s="741"/>
      <c r="Y19" s="741"/>
      <c r="Z19" s="741"/>
      <c r="AA19" s="741"/>
      <c r="AB19" s="739"/>
      <c r="AC19" s="739"/>
      <c r="AD19" s="739"/>
      <c r="AE19" s="710"/>
      <c r="AG19" s="721"/>
      <c r="AH19" s="709"/>
      <c r="AI19" s="709"/>
      <c r="AJ19" s="718"/>
      <c r="AK19" s="718"/>
      <c r="AM19" s="685"/>
      <c r="AN19" s="693"/>
      <c r="AQ19" s="685"/>
      <c r="AR19" s="693"/>
      <c r="AU19" s="685"/>
      <c r="AZ19" s="830">
        <v>0</v>
      </c>
      <c r="BA19" s="836"/>
      <c r="BD19" s="761">
        <v>2</v>
      </c>
      <c r="BE19" s="767">
        <f>SUBTOTAL(9,BE20)</f>
        <v>0</v>
      </c>
      <c r="BF19" s="762">
        <f>SUBTOTAL(9,BF20)</f>
        <v>0</v>
      </c>
      <c r="BG19" s="767">
        <f t="shared" ref="BG19:BJ19" si="38">SUBTOTAL(9,BG20)</f>
        <v>5.1499999999999997E-2</v>
      </c>
      <c r="BH19" s="762">
        <f t="shared" si="38"/>
        <v>5.1499999999999997E-2</v>
      </c>
      <c r="BI19" s="757">
        <f t="shared" si="38"/>
        <v>0</v>
      </c>
      <c r="BJ19" s="762">
        <f t="shared" si="38"/>
        <v>0</v>
      </c>
      <c r="BL19" s="693"/>
      <c r="BM19" s="697">
        <f>SUBTOTAL(9,BM20)</f>
        <v>0</v>
      </c>
      <c r="BN19" s="697">
        <f t="shared" ref="BN19:CH19" si="39">SUBTOTAL(9,BN20)</f>
        <v>0</v>
      </c>
      <c r="BO19" s="697">
        <f t="shared" si="39"/>
        <v>0</v>
      </c>
      <c r="BP19" s="697">
        <f t="shared" si="39"/>
        <v>0</v>
      </c>
      <c r="BQ19" s="697">
        <f t="shared" si="39"/>
        <v>0</v>
      </c>
      <c r="BR19" s="697">
        <f t="shared" si="39"/>
        <v>0</v>
      </c>
      <c r="BS19" s="697">
        <f t="shared" si="39"/>
        <v>2.575E-3</v>
      </c>
      <c r="BT19" s="697">
        <f t="shared" si="39"/>
        <v>2.5749999999999999E-2</v>
      </c>
      <c r="BU19" s="697">
        <f t="shared" si="39"/>
        <v>5.1499999999999997E-2</v>
      </c>
      <c r="BV19" s="697">
        <f t="shared" si="39"/>
        <v>5.1499999999999997E-2</v>
      </c>
      <c r="BW19" s="697">
        <f t="shared" si="39"/>
        <v>5.1499999999999997E-2</v>
      </c>
      <c r="BX19" s="697">
        <f t="shared" si="39"/>
        <v>5.1499999999999997E-2</v>
      </c>
      <c r="BY19" s="697">
        <f t="shared" si="39"/>
        <v>5.1499999999999997E-2</v>
      </c>
      <c r="BZ19" s="697">
        <f t="shared" si="39"/>
        <v>5.1499999999999997E-2</v>
      </c>
      <c r="CA19" s="697">
        <f t="shared" si="39"/>
        <v>5.1499999999999997E-2</v>
      </c>
      <c r="CB19" s="697">
        <f t="shared" si="39"/>
        <v>5.1499999999999997E-2</v>
      </c>
      <c r="CC19" s="697">
        <f t="shared" si="39"/>
        <v>5.1499999999999997E-2</v>
      </c>
      <c r="CD19" s="697">
        <f t="shared" si="39"/>
        <v>5.1499999999999997E-2</v>
      </c>
      <c r="CE19" s="697">
        <f t="shared" si="39"/>
        <v>5.1499999999999997E-2</v>
      </c>
      <c r="CF19" s="697">
        <f t="shared" si="39"/>
        <v>5.1499999999999997E-2</v>
      </c>
      <c r="CG19" s="697">
        <f t="shared" si="39"/>
        <v>5.1499999999999997E-2</v>
      </c>
      <c r="CH19" s="697">
        <f t="shared" si="39"/>
        <v>5.1499999999999997E-2</v>
      </c>
      <c r="CI19" s="685"/>
      <c r="CK19" s="693"/>
      <c r="CL19" s="697">
        <f>SUBTOTAL(9,CL20)</f>
        <v>0</v>
      </c>
      <c r="CM19" s="697">
        <f t="shared" ref="CM19:DG19" si="40">SUBTOTAL(9,CM20)</f>
        <v>0</v>
      </c>
      <c r="CN19" s="697">
        <f t="shared" si="40"/>
        <v>0</v>
      </c>
      <c r="CO19" s="697">
        <f t="shared" si="40"/>
        <v>0</v>
      </c>
      <c r="CP19" s="697">
        <f t="shared" si="40"/>
        <v>0</v>
      </c>
      <c r="CQ19" s="697">
        <f t="shared" si="40"/>
        <v>0</v>
      </c>
      <c r="CR19" s="697">
        <f t="shared" si="40"/>
        <v>0</v>
      </c>
      <c r="CS19" s="697">
        <f t="shared" si="40"/>
        <v>0</v>
      </c>
      <c r="CT19" s="697">
        <f t="shared" si="40"/>
        <v>0</v>
      </c>
      <c r="CU19" s="697">
        <f t="shared" si="40"/>
        <v>0</v>
      </c>
      <c r="CV19" s="697">
        <f t="shared" si="40"/>
        <v>0</v>
      </c>
      <c r="CW19" s="697">
        <f t="shared" si="40"/>
        <v>0</v>
      </c>
      <c r="CX19" s="697">
        <f t="shared" si="40"/>
        <v>0</v>
      </c>
      <c r="CY19" s="697">
        <f t="shared" si="40"/>
        <v>0</v>
      </c>
      <c r="CZ19" s="697">
        <f t="shared" si="40"/>
        <v>3.8625E-2</v>
      </c>
      <c r="DA19" s="697">
        <f t="shared" si="40"/>
        <v>3.8625E-2</v>
      </c>
      <c r="DB19" s="697">
        <f t="shared" si="40"/>
        <v>3.8625E-2</v>
      </c>
      <c r="DC19" s="697">
        <f t="shared" si="40"/>
        <v>3.8625E-2</v>
      </c>
      <c r="DD19" s="697">
        <f t="shared" si="40"/>
        <v>3.8625E-2</v>
      </c>
      <c r="DE19" s="697">
        <f t="shared" si="40"/>
        <v>3.8625E-2</v>
      </c>
      <c r="DF19" s="697">
        <f t="shared" si="40"/>
        <v>3.8625E-2</v>
      </c>
      <c r="DG19" s="697">
        <f t="shared" si="40"/>
        <v>3.8625E-2</v>
      </c>
      <c r="DH19" s="685"/>
      <c r="DK19" s="693"/>
      <c r="DL19" s="697">
        <f>SUBTOTAL(9,DL20)</f>
        <v>0</v>
      </c>
      <c r="DM19" s="697">
        <f t="shared" ref="DM19:EG19" si="41">SUBTOTAL(9,DM20)</f>
        <v>0</v>
      </c>
      <c r="DN19" s="697">
        <f t="shared" si="41"/>
        <v>0</v>
      </c>
      <c r="DO19" s="697">
        <f t="shared" si="41"/>
        <v>0</v>
      </c>
      <c r="DP19" s="697">
        <f t="shared" si="41"/>
        <v>0</v>
      </c>
      <c r="DQ19" s="697">
        <f t="shared" si="41"/>
        <v>0</v>
      </c>
      <c r="DR19" s="697">
        <f t="shared" si="41"/>
        <v>0</v>
      </c>
      <c r="DS19" s="697">
        <f t="shared" si="41"/>
        <v>0</v>
      </c>
      <c r="DT19" s="697">
        <f t="shared" si="41"/>
        <v>0</v>
      </c>
      <c r="DU19" s="697">
        <f t="shared" si="41"/>
        <v>0</v>
      </c>
      <c r="DV19" s="697">
        <f t="shared" si="41"/>
        <v>0</v>
      </c>
      <c r="DW19" s="697">
        <f t="shared" si="41"/>
        <v>0</v>
      </c>
      <c r="DX19" s="697">
        <f t="shared" si="41"/>
        <v>0</v>
      </c>
      <c r="DY19" s="697">
        <f t="shared" si="41"/>
        <v>0</v>
      </c>
      <c r="DZ19" s="697">
        <f t="shared" si="41"/>
        <v>0</v>
      </c>
      <c r="EA19" s="697">
        <f t="shared" si="41"/>
        <v>0</v>
      </c>
      <c r="EB19" s="697">
        <f t="shared" si="41"/>
        <v>0</v>
      </c>
      <c r="EC19" s="697">
        <f t="shared" si="41"/>
        <v>0</v>
      </c>
      <c r="ED19" s="697">
        <f t="shared" si="41"/>
        <v>0</v>
      </c>
      <c r="EE19" s="697">
        <f t="shared" si="41"/>
        <v>0</v>
      </c>
      <c r="EF19" s="697">
        <f t="shared" si="41"/>
        <v>0</v>
      </c>
      <c r="EG19" s="697">
        <f t="shared" si="41"/>
        <v>0</v>
      </c>
      <c r="EH19" s="698"/>
    </row>
    <row r="20" spans="1:138" ht="14">
      <c r="A20" s="686" t="s">
        <v>201</v>
      </c>
      <c r="B20" s="668"/>
      <c r="C20" s="672" t="s">
        <v>200</v>
      </c>
      <c r="D20" s="668"/>
      <c r="E20" s="668"/>
      <c r="F20" s="673">
        <v>5.1499999999999997E-2</v>
      </c>
      <c r="G20" s="668"/>
      <c r="H20" s="743">
        <v>46159</v>
      </c>
      <c r="I20" s="798">
        <v>46210</v>
      </c>
      <c r="J20" s="742"/>
      <c r="K20" s="742">
        <f>H20+((O20-H20)*0.5)</f>
        <v>46162.5</v>
      </c>
      <c r="L20" s="798">
        <v>46210</v>
      </c>
      <c r="M20" s="743"/>
      <c r="N20" s="738"/>
      <c r="O20" s="742">
        <f>H20+((W20-H20)*0.5)</f>
        <v>46166</v>
      </c>
      <c r="P20" s="798">
        <v>46210</v>
      </c>
      <c r="Q20" s="742"/>
      <c r="R20" s="742"/>
      <c r="S20" s="742">
        <f>O20+((W20-O20)*0.5)</f>
        <v>46169.5</v>
      </c>
      <c r="T20" s="798">
        <v>46210</v>
      </c>
      <c r="U20" s="742"/>
      <c r="V20" s="742"/>
      <c r="W20" s="742">
        <v>46173</v>
      </c>
      <c r="X20" s="742"/>
      <c r="Y20" s="742"/>
      <c r="Z20" s="742"/>
      <c r="AA20" s="742"/>
      <c r="AB20" s="738"/>
      <c r="AC20" s="738"/>
      <c r="AD20" s="738"/>
      <c r="AE20" s="711">
        <f>AN20</f>
        <v>0</v>
      </c>
      <c r="AG20" s="717">
        <f>IF(AND($Y20&lt;&gt;0,$Y20&lt;=$BL$6),$Y$12,IF(AND($U20&lt;&gt;0,$U20&lt;=$BL$6),$U$12,IF(AND($Q20&lt;&gt;0,$Q20&lt;=$BL$6),$Q$12,IF(AND($M20&lt;&gt;0,$M20&lt;=$BL$6),$M$12,IF(AND($J20&lt;&gt;0,$J20&lt;=$BL$6),$J$12,0)))))</f>
        <v>0</v>
      </c>
      <c r="AH20" s="707">
        <f>AI20-AG20</f>
        <v>0</v>
      </c>
      <c r="AI20" s="708">
        <f>IF(AND($Y20&lt;&gt;0,$Y20&lt;=$BL$5),$Y$12,IF(AND($U20&lt;&gt;0,$U20&lt;=$BL$5),$U$12,IF(AND($Q20&lt;&gt;0,$Q20&lt;=$BL$5),$Q$12,IF(AND($M20&lt;&gt;0,$M20&lt;=$BL$5),$M$12,IF(AND($J20&lt;&gt;0,$J20&lt;=$BL$5),$J$12,0)))))</f>
        <v>0</v>
      </c>
      <c r="AJ20" s="718">
        <f t="shared" ref="AJ20:AJ36" si="42">IF(AND($W20&lt;&gt;0,$W20&lt;=$BL$5),$W$12,IF(AND($S20&lt;&gt;0,$S20&lt;=$BL$5),$S$12,IF(AND($O20&lt;&gt;0,$O20&lt;=$BL$5),$O$12,IF(AND($K20&lt;&gt;0,$K20&lt;=$BL$5),$K$12,IF(AND($H20&lt;&gt;0,$H20&lt;=$BL$5),$H$12,0)))))</f>
        <v>1</v>
      </c>
      <c r="AK20" s="718">
        <f t="shared" si="37"/>
        <v>0</v>
      </c>
      <c r="AL20" s="719">
        <f>AI20-AJ20</f>
        <v>-1</v>
      </c>
      <c r="AM20" s="720">
        <f>AI20-AK20</f>
        <v>0</v>
      </c>
      <c r="AN20" s="724">
        <f>AI20*F20</f>
        <v>0</v>
      </c>
      <c r="AO20" s="725">
        <f>AJ20*F20</f>
        <v>5.1499999999999997E-2</v>
      </c>
      <c r="AP20" s="725">
        <f>AK20*F20</f>
        <v>0</v>
      </c>
      <c r="AQ20" s="726">
        <f>AN20-AO20</f>
        <v>-5.1499999999999997E-2</v>
      </c>
      <c r="AR20" s="681"/>
      <c r="AU20" s="680"/>
      <c r="AZ20" s="831">
        <v>0</v>
      </c>
      <c r="BA20" s="837"/>
      <c r="BD20" s="500" t="s">
        <v>201</v>
      </c>
      <c r="BE20" s="768">
        <f>AG20*F20</f>
        <v>0</v>
      </c>
      <c r="BF20" s="769">
        <f>AI20*F20</f>
        <v>0</v>
      </c>
      <c r="BG20" s="768">
        <f>IF(AND($W20&lt;&gt;0,$W20&lt;=$BL$6),$W$12,IF(AND($S20&lt;&gt;0,$S20&lt;=$BL$6),$S$12,IF(AND($O20&lt;&gt;0,$O20&lt;=$BL$6),$O$12,IF(AND($K20&lt;&gt;0,$K20&lt;=$BL$6),$K$12,IF(AND($H20&lt;&gt;0,$H20&lt;=$BL$6),$H$12,0)))))*$F20</f>
        <v>5.1499999999999997E-2</v>
      </c>
      <c r="BH20" s="763">
        <f>IF(AND($W20&lt;&gt;0,$W20&lt;=$BL$5),$W$12,IF(AND($S20&lt;&gt;0,$S20&lt;=$BL$5),$S$12,IF(AND($O20&lt;&gt;0,$O20&lt;=$BL$5),$O$12,IF(AND($K20&lt;&gt;0,$K20&lt;=$BL$5),$K$12,IF(AND($H20&lt;&gt;0,$H20&lt;=$BL$5),$H$12,0)))))*$F20</f>
        <v>5.1499999999999997E-2</v>
      </c>
      <c r="BI20" s="758">
        <f>IF(AND($X20&lt;&gt;0,$X20&lt;=$BL$6),$X$12,IF(AND($T20&lt;&gt;0,$T20&lt;=$BL$6),$T$12,IF(AND($P20&lt;&gt;0,$P20&lt;=$BL$6),$P$12,IF(AND($L20&lt;&gt;0,$L20&lt;=$BL$6),$L$12,IF(AND($I20&lt;&gt;0,$I20&lt;=$BL$6),$I$12,0)))))*$F20</f>
        <v>0</v>
      </c>
      <c r="BJ20" s="763">
        <f>IF(AND($X20&lt;&gt;0,$X20&lt;=$BL$5),$X$12,IF(AND($T20&lt;&gt;0,$T20&lt;=$BL$5),$T$12,IF(AND($P20&lt;&gt;0,$P20&lt;=$BL$5),$P$12,IF(AND($L20&lt;&gt;0,$L20&lt;=$BL$5),$L$12,IF(AND($I20&lt;&gt;0,$I20&lt;=$BL$5),$I$12,0)))))*$F20</f>
        <v>0</v>
      </c>
      <c r="BL20" s="681"/>
      <c r="BM20" s="695">
        <v>0</v>
      </c>
      <c r="BN20" s="695">
        <f>IF(AND($W20&lt;&gt;0,$W20&lt;=BN$12),$W$12*$F20,IF(AND($S20&lt;&gt;0,$S20&lt;=BN$12),$S$12*$F20,IF(AND($O20&lt;&gt;0,$O20&lt;=BN$12),$O$12*$F20,IF(AND($K20&lt;&gt;0,$K20&lt;=BN$12),$K$12*$F20,IF(AND($H20&lt;&gt;0,$H20&lt;=BN$12),$H$12*$F20,0)))))</f>
        <v>0</v>
      </c>
      <c r="BO20" s="695">
        <f t="shared" si="34"/>
        <v>0</v>
      </c>
      <c r="BP20" s="695">
        <f t="shared" si="34"/>
        <v>0</v>
      </c>
      <c r="BQ20" s="695">
        <f t="shared" si="34"/>
        <v>0</v>
      </c>
      <c r="BR20" s="695">
        <f t="shared" si="34"/>
        <v>0</v>
      </c>
      <c r="BS20" s="695">
        <f t="shared" si="34"/>
        <v>2.575E-3</v>
      </c>
      <c r="BT20" s="695">
        <f t="shared" si="34"/>
        <v>2.5749999999999999E-2</v>
      </c>
      <c r="BU20" s="695">
        <f t="shared" si="34"/>
        <v>5.1499999999999997E-2</v>
      </c>
      <c r="BV20" s="695">
        <f t="shared" si="34"/>
        <v>5.1499999999999997E-2</v>
      </c>
      <c r="BW20" s="695">
        <f t="shared" si="34"/>
        <v>5.1499999999999997E-2</v>
      </c>
      <c r="BX20" s="695">
        <f t="shared" si="34"/>
        <v>5.1499999999999997E-2</v>
      </c>
      <c r="BY20" s="695">
        <f t="shared" si="34"/>
        <v>5.1499999999999997E-2</v>
      </c>
      <c r="BZ20" s="695">
        <f t="shared" si="34"/>
        <v>5.1499999999999997E-2</v>
      </c>
      <c r="CA20" s="695">
        <f t="shared" si="34"/>
        <v>5.1499999999999997E-2</v>
      </c>
      <c r="CB20" s="695">
        <f t="shared" si="34"/>
        <v>5.1499999999999997E-2</v>
      </c>
      <c r="CC20" s="695">
        <f t="shared" si="34"/>
        <v>5.1499999999999997E-2</v>
      </c>
      <c r="CD20" s="695">
        <f t="shared" si="34"/>
        <v>5.1499999999999997E-2</v>
      </c>
      <c r="CE20" s="695">
        <f t="shared" si="34"/>
        <v>5.1499999999999997E-2</v>
      </c>
      <c r="CF20" s="695">
        <f t="shared" si="34"/>
        <v>5.1499999999999997E-2</v>
      </c>
      <c r="CG20" s="695">
        <f t="shared" si="34"/>
        <v>5.1499999999999997E-2</v>
      </c>
      <c r="CH20" s="695">
        <f>IF(AND($W20&lt;&gt;0,$W20&lt;=CH$12),$W$12*$F20,IF(AND($S20&lt;&gt;0,$S20&lt;=CH$12),$S$12*$F20,IF(AND($O20&lt;&gt;0,$O20&lt;=CH$12),$O$12*$F20,IF(AND($K20&lt;&gt;0,$K20&lt;=CH$12),$K$12*$F20,IF(AND($H20&lt;&gt;0,$H20&lt;=CH$12),$H$12*$F20,0)))))</f>
        <v>5.1499999999999997E-2</v>
      </c>
      <c r="CI20" s="680"/>
      <c r="CK20" s="681"/>
      <c r="CL20" s="695">
        <v>0</v>
      </c>
      <c r="CM20" s="695">
        <f>IF(AND($X20&lt;&gt;0,$X20&lt;=CM$12),$X$12*$F20,IF(AND($T20&lt;&gt;0,$T20&lt;=CM$12),$T$12*$F20,IF(AND($P20&lt;&gt;0,$P20&lt;=CM$12),$P$12*$F20,IF(AND($L20&lt;&gt;0,$L20&lt;=CM$12),$L$12*$F20,IF(AND($I20&lt;&gt;0,$I20&lt;=CM$12),$I$12*$F20,0)))))</f>
        <v>0</v>
      </c>
      <c r="CN20" s="695">
        <f t="shared" si="35"/>
        <v>0</v>
      </c>
      <c r="CO20" s="695">
        <f t="shared" si="35"/>
        <v>0</v>
      </c>
      <c r="CP20" s="695">
        <f t="shared" si="35"/>
        <v>0</v>
      </c>
      <c r="CQ20" s="695">
        <f t="shared" si="35"/>
        <v>0</v>
      </c>
      <c r="CR20" s="695">
        <f t="shared" si="35"/>
        <v>0</v>
      </c>
      <c r="CS20" s="695">
        <f t="shared" si="35"/>
        <v>0</v>
      </c>
      <c r="CT20" s="695">
        <f t="shared" si="35"/>
        <v>0</v>
      </c>
      <c r="CU20" s="695">
        <f t="shared" si="35"/>
        <v>0</v>
      </c>
      <c r="CV20" s="695">
        <f t="shared" si="35"/>
        <v>0</v>
      </c>
      <c r="CW20" s="695">
        <f t="shared" si="35"/>
        <v>0</v>
      </c>
      <c r="CX20" s="695">
        <f t="shared" si="35"/>
        <v>0</v>
      </c>
      <c r="CY20" s="695">
        <f t="shared" si="35"/>
        <v>0</v>
      </c>
      <c r="CZ20" s="695">
        <f t="shared" si="35"/>
        <v>3.8625E-2</v>
      </c>
      <c r="DA20" s="695">
        <f t="shared" si="35"/>
        <v>3.8625E-2</v>
      </c>
      <c r="DB20" s="695">
        <f t="shared" si="35"/>
        <v>3.8625E-2</v>
      </c>
      <c r="DC20" s="695">
        <f t="shared" si="35"/>
        <v>3.8625E-2</v>
      </c>
      <c r="DD20" s="695">
        <f t="shared" si="35"/>
        <v>3.8625E-2</v>
      </c>
      <c r="DE20" s="695">
        <f t="shared" si="35"/>
        <v>3.8625E-2</v>
      </c>
      <c r="DF20" s="695">
        <f t="shared" si="35"/>
        <v>3.8625E-2</v>
      </c>
      <c r="DG20" s="695">
        <f t="shared" si="35"/>
        <v>3.8625E-2</v>
      </c>
      <c r="DH20" s="680"/>
      <c r="DK20" s="681"/>
      <c r="DL20" s="695">
        <v>0</v>
      </c>
      <c r="DM20" s="695">
        <f>IF(AND($Y20&lt;&gt;0,$Y20&lt;=DM$12),$Y$12*$F20,IF(AND($U20&lt;&gt;0,$U20&lt;=DM$12),$U$12*$F20,IF(AND($Q20&lt;&gt;0,$Q20&lt;=DM$12),$Q$12*$F20,IF(AND($M20&lt;&gt;0,$M20&lt;=DM$12),$M$12*$F20,IF(AND($J20&lt;&gt;0,$J20&lt;=DM$12),$J$12*$F20,0)))))</f>
        <v>0</v>
      </c>
      <c r="DN20" s="695">
        <f t="shared" si="36"/>
        <v>0</v>
      </c>
      <c r="DO20" s="695">
        <f t="shared" si="36"/>
        <v>0</v>
      </c>
      <c r="DP20" s="695">
        <f t="shared" si="36"/>
        <v>0</v>
      </c>
      <c r="DQ20" s="695">
        <f t="shared" si="36"/>
        <v>0</v>
      </c>
      <c r="DR20" s="695">
        <f t="shared" si="36"/>
        <v>0</v>
      </c>
      <c r="DS20" s="695">
        <f t="shared" si="36"/>
        <v>0</v>
      </c>
      <c r="DT20" s="695">
        <f t="shared" si="36"/>
        <v>0</v>
      </c>
      <c r="DU20" s="695">
        <f t="shared" si="36"/>
        <v>0</v>
      </c>
      <c r="DV20" s="695">
        <f t="shared" si="36"/>
        <v>0</v>
      </c>
      <c r="DW20" s="695">
        <f t="shared" si="36"/>
        <v>0</v>
      </c>
      <c r="DX20" s="695">
        <f t="shared" si="36"/>
        <v>0</v>
      </c>
      <c r="DY20" s="695">
        <f t="shared" si="36"/>
        <v>0</v>
      </c>
      <c r="DZ20" s="695">
        <f t="shared" si="36"/>
        <v>0</v>
      </c>
      <c r="EA20" s="695">
        <f t="shared" si="36"/>
        <v>0</v>
      </c>
      <c r="EB20" s="695">
        <f t="shared" si="36"/>
        <v>0</v>
      </c>
      <c r="EC20" s="695">
        <f t="shared" si="36"/>
        <v>0</v>
      </c>
      <c r="ED20" s="695">
        <f t="shared" si="36"/>
        <v>0</v>
      </c>
      <c r="EE20" s="695">
        <f t="shared" si="36"/>
        <v>0</v>
      </c>
      <c r="EF20" s="695">
        <f t="shared" si="36"/>
        <v>0</v>
      </c>
      <c r="EG20" s="695">
        <f t="shared" si="36"/>
        <v>0</v>
      </c>
      <c r="EH20" s="699"/>
    </row>
    <row r="21" spans="1:138" s="643" customFormat="1" ht="14">
      <c r="A21" s="684">
        <v>3</v>
      </c>
      <c r="B21" s="664"/>
      <c r="C21" s="665" t="s">
        <v>202</v>
      </c>
      <c r="D21" s="665"/>
      <c r="E21" s="666"/>
      <c r="F21" s="667">
        <f>SUBTOTAL(9,F22:F24)</f>
        <v>0.17330000000000001</v>
      </c>
      <c r="G21" s="666"/>
      <c r="H21" s="744"/>
      <c r="I21" s="739"/>
      <c r="J21" s="741"/>
      <c r="K21" s="741"/>
      <c r="L21" s="739"/>
      <c r="M21" s="744"/>
      <c r="N21" s="739"/>
      <c r="O21" s="741"/>
      <c r="P21" s="666"/>
      <c r="Q21" s="741"/>
      <c r="R21" s="741"/>
      <c r="S21" s="741"/>
      <c r="T21" s="741"/>
      <c r="U21" s="741"/>
      <c r="V21" s="741"/>
      <c r="W21" s="741"/>
      <c r="X21" s="741"/>
      <c r="Y21" s="741"/>
      <c r="Z21" s="741"/>
      <c r="AA21" s="741"/>
      <c r="AB21" s="739"/>
      <c r="AC21" s="739"/>
      <c r="AD21" s="739"/>
      <c r="AE21" s="710"/>
      <c r="AG21" s="721"/>
      <c r="AH21" s="709"/>
      <c r="AI21" s="709"/>
      <c r="AJ21" s="718"/>
      <c r="AK21" s="718"/>
      <c r="AM21" s="685"/>
      <c r="AN21" s="693"/>
      <c r="AQ21" s="685"/>
      <c r="AR21" s="693"/>
      <c r="AU21" s="685"/>
      <c r="AZ21" s="830">
        <v>0.17330000000000001</v>
      </c>
      <c r="BA21" s="836"/>
      <c r="BD21" s="761">
        <v>3</v>
      </c>
      <c r="BE21" s="767">
        <f>SUBTOTAL(9,BE22:BE24)</f>
        <v>0.17330000000000001</v>
      </c>
      <c r="BF21" s="762">
        <f>SUBTOTAL(9,BF22:BF24)</f>
        <v>0.17330000000000001</v>
      </c>
      <c r="BG21" s="767">
        <f t="shared" ref="BG21:BJ21" si="43">SUBTOTAL(9,BG22:BG24)</f>
        <v>0.16892499999999999</v>
      </c>
      <c r="BH21" s="762">
        <f t="shared" si="43"/>
        <v>0.17330000000000001</v>
      </c>
      <c r="BI21" s="757">
        <f t="shared" si="43"/>
        <v>0</v>
      </c>
      <c r="BJ21" s="762">
        <f t="shared" si="43"/>
        <v>0</v>
      </c>
      <c r="BL21" s="693"/>
      <c r="BM21" s="697">
        <f>SUBTOTAL(9,BM22:BM24)</f>
        <v>0</v>
      </c>
      <c r="BN21" s="697">
        <f t="shared" ref="BN21:CH21" si="44">SUBTOTAL(9,BN22:BN24)</f>
        <v>1.0825E-2</v>
      </c>
      <c r="BO21" s="697">
        <f t="shared" si="44"/>
        <v>2.1649999999999999E-2</v>
      </c>
      <c r="BP21" s="697">
        <f t="shared" si="44"/>
        <v>3.2474999999999997E-2</v>
      </c>
      <c r="BQ21" s="697">
        <f t="shared" si="44"/>
        <v>4.8924999999999996E-2</v>
      </c>
      <c r="BR21" s="697">
        <f t="shared" si="44"/>
        <v>7.1425000000000002E-2</v>
      </c>
      <c r="BS21" s="697">
        <f t="shared" si="44"/>
        <v>9.955E-2</v>
      </c>
      <c r="BT21" s="697">
        <f t="shared" si="44"/>
        <v>0.12767500000000001</v>
      </c>
      <c r="BU21" s="697">
        <f t="shared" si="44"/>
        <v>0.15579999999999999</v>
      </c>
      <c r="BV21" s="697">
        <f t="shared" si="44"/>
        <v>0.15667499999999998</v>
      </c>
      <c r="BW21" s="697">
        <f t="shared" si="44"/>
        <v>0.16017499999999998</v>
      </c>
      <c r="BX21" s="697">
        <f t="shared" si="44"/>
        <v>0.16455</v>
      </c>
      <c r="BY21" s="697">
        <f t="shared" si="44"/>
        <v>0.16892499999999999</v>
      </c>
      <c r="BZ21" s="697">
        <f t="shared" si="44"/>
        <v>0.17330000000000001</v>
      </c>
      <c r="CA21" s="697">
        <f t="shared" si="44"/>
        <v>0.17330000000000001</v>
      </c>
      <c r="CB21" s="697">
        <f t="shared" si="44"/>
        <v>0.17330000000000001</v>
      </c>
      <c r="CC21" s="697">
        <f t="shared" si="44"/>
        <v>0.17330000000000001</v>
      </c>
      <c r="CD21" s="697">
        <f t="shared" si="44"/>
        <v>0.17330000000000001</v>
      </c>
      <c r="CE21" s="697">
        <f t="shared" si="44"/>
        <v>0.17330000000000001</v>
      </c>
      <c r="CF21" s="697">
        <f t="shared" si="44"/>
        <v>0.17330000000000001</v>
      </c>
      <c r="CG21" s="697">
        <f t="shared" si="44"/>
        <v>0.17330000000000001</v>
      </c>
      <c r="CH21" s="697">
        <f t="shared" si="44"/>
        <v>0.17330000000000001</v>
      </c>
      <c r="CI21" s="685"/>
      <c r="CK21" s="693"/>
      <c r="CL21" s="697">
        <f>SUBTOTAL(9,CL22:CL24)</f>
        <v>0</v>
      </c>
      <c r="CM21" s="697">
        <f t="shared" ref="CM21:DG21" si="45">SUBTOTAL(9,CM22:CM24)</f>
        <v>0</v>
      </c>
      <c r="CN21" s="697">
        <f t="shared" si="45"/>
        <v>0</v>
      </c>
      <c r="CO21" s="697">
        <f t="shared" si="45"/>
        <v>0</v>
      </c>
      <c r="CP21" s="697">
        <f t="shared" si="45"/>
        <v>0</v>
      </c>
      <c r="CQ21" s="697">
        <f t="shared" si="45"/>
        <v>0</v>
      </c>
      <c r="CR21" s="697">
        <f t="shared" si="45"/>
        <v>0</v>
      </c>
      <c r="CS21" s="697">
        <f t="shared" si="45"/>
        <v>0</v>
      </c>
      <c r="CT21" s="697">
        <f t="shared" si="45"/>
        <v>0</v>
      </c>
      <c r="CU21" s="697">
        <f t="shared" si="45"/>
        <v>0</v>
      </c>
      <c r="CV21" s="697">
        <f t="shared" si="45"/>
        <v>0</v>
      </c>
      <c r="CW21" s="697">
        <f t="shared" si="45"/>
        <v>0</v>
      </c>
      <c r="CX21" s="697">
        <f t="shared" si="45"/>
        <v>0</v>
      </c>
      <c r="CY21" s="697">
        <f t="shared" si="45"/>
        <v>0</v>
      </c>
      <c r="CZ21" s="697">
        <f t="shared" si="45"/>
        <v>0</v>
      </c>
      <c r="DA21" s="697">
        <f t="shared" si="45"/>
        <v>0</v>
      </c>
      <c r="DB21" s="697">
        <f t="shared" si="45"/>
        <v>0</v>
      </c>
      <c r="DC21" s="697">
        <f t="shared" si="45"/>
        <v>0</v>
      </c>
      <c r="DD21" s="697">
        <f t="shared" si="45"/>
        <v>0</v>
      </c>
      <c r="DE21" s="697">
        <f t="shared" si="45"/>
        <v>0</v>
      </c>
      <c r="DF21" s="697">
        <f t="shared" si="45"/>
        <v>0</v>
      </c>
      <c r="DG21" s="697">
        <f t="shared" si="45"/>
        <v>0</v>
      </c>
      <c r="DH21" s="685"/>
      <c r="DK21" s="693"/>
      <c r="DL21" s="697">
        <f>SUBTOTAL(9,DL22:DL24)</f>
        <v>0</v>
      </c>
      <c r="DM21" s="697">
        <f t="shared" ref="DM21:EG21" si="46">SUBTOTAL(9,DM22:DM24)</f>
        <v>0.10185</v>
      </c>
      <c r="DN21" s="697">
        <f t="shared" si="46"/>
        <v>0.17330000000000001</v>
      </c>
      <c r="DO21" s="697">
        <f t="shared" si="46"/>
        <v>0.17330000000000001</v>
      </c>
      <c r="DP21" s="697">
        <f t="shared" si="46"/>
        <v>0.17330000000000001</v>
      </c>
      <c r="DQ21" s="697">
        <f t="shared" si="46"/>
        <v>0.17330000000000001</v>
      </c>
      <c r="DR21" s="697">
        <f t="shared" si="46"/>
        <v>0.17330000000000001</v>
      </c>
      <c r="DS21" s="697">
        <f t="shared" si="46"/>
        <v>0.17330000000000001</v>
      </c>
      <c r="DT21" s="697">
        <f t="shared" si="46"/>
        <v>0.17330000000000001</v>
      </c>
      <c r="DU21" s="697">
        <f t="shared" si="46"/>
        <v>0.17330000000000001</v>
      </c>
      <c r="DV21" s="697">
        <f t="shared" si="46"/>
        <v>0.17330000000000001</v>
      </c>
      <c r="DW21" s="697">
        <f t="shared" si="46"/>
        <v>0.17330000000000001</v>
      </c>
      <c r="DX21" s="697">
        <f t="shared" si="46"/>
        <v>0.17330000000000001</v>
      </c>
      <c r="DY21" s="697">
        <f t="shared" si="46"/>
        <v>0.17330000000000001</v>
      </c>
      <c r="DZ21" s="697">
        <f t="shared" si="46"/>
        <v>0.17330000000000001</v>
      </c>
      <c r="EA21" s="697">
        <f t="shared" si="46"/>
        <v>0.17330000000000001</v>
      </c>
      <c r="EB21" s="697">
        <f t="shared" si="46"/>
        <v>0.17330000000000001</v>
      </c>
      <c r="EC21" s="697">
        <f t="shared" si="46"/>
        <v>0.17330000000000001</v>
      </c>
      <c r="ED21" s="697">
        <f t="shared" si="46"/>
        <v>0.17330000000000001</v>
      </c>
      <c r="EE21" s="697">
        <f t="shared" si="46"/>
        <v>0.17330000000000001</v>
      </c>
      <c r="EF21" s="697">
        <f t="shared" si="46"/>
        <v>0.17330000000000001</v>
      </c>
      <c r="EG21" s="697">
        <f t="shared" si="46"/>
        <v>0.17330000000000001</v>
      </c>
      <c r="EH21" s="698"/>
    </row>
    <row r="22" spans="1:138" ht="14">
      <c r="A22" s="686" t="s">
        <v>206</v>
      </c>
      <c r="B22" s="791" t="s">
        <v>250</v>
      </c>
      <c r="C22" s="669" t="s">
        <v>204</v>
      </c>
      <c r="D22" s="668"/>
      <c r="E22" s="668"/>
      <c r="F22" s="673">
        <v>4.3299999999999998E-2</v>
      </c>
      <c r="G22" s="668"/>
      <c r="H22" s="743">
        <v>46113</v>
      </c>
      <c r="I22" s="738"/>
      <c r="J22" s="742">
        <v>46113</v>
      </c>
      <c r="K22" s="742">
        <f>H22+((O22-H22)*0.5)</f>
        <v>46120.25</v>
      </c>
      <c r="L22" s="738"/>
      <c r="M22" s="742">
        <v>46117</v>
      </c>
      <c r="N22" s="738"/>
      <c r="O22" s="742">
        <f>H22+((W22-H22)*0.5)</f>
        <v>46127.5</v>
      </c>
      <c r="P22" s="668"/>
      <c r="Q22" s="742">
        <v>46119</v>
      </c>
      <c r="R22" s="742"/>
      <c r="S22" s="742">
        <f>O22+((W22-O22)*0.5)</f>
        <v>46134.75</v>
      </c>
      <c r="T22" s="742"/>
      <c r="U22" s="742">
        <v>46122</v>
      </c>
      <c r="V22" s="742"/>
      <c r="W22" s="742">
        <v>46142</v>
      </c>
      <c r="X22" s="742"/>
      <c r="Y22" s="742">
        <v>46126</v>
      </c>
      <c r="Z22" s="742"/>
      <c r="AA22" s="742"/>
      <c r="AB22" s="738"/>
      <c r="AC22" s="738"/>
      <c r="AD22" s="738"/>
      <c r="AE22" s="711">
        <f>AN22</f>
        <v>4.3299999999999998E-2</v>
      </c>
      <c r="AG22" s="717">
        <f>IF(AND($Y22&lt;&gt;0,$Y22&lt;=$BL$6),$Y$12,IF(AND($U22&lt;&gt;0,$U22&lt;=$BL$6),$U$12,IF(AND($Q22&lt;&gt;0,$Q22&lt;=$BL$6),$Q$12,IF(AND($M22&lt;&gt;0,$M22&lt;=$BL$6),$M$12,IF(AND($J22&lt;&gt;0,$J22&lt;=$BL$6),$J$12,0)))))</f>
        <v>1</v>
      </c>
      <c r="AH22" s="707">
        <f>AI22-AG22</f>
        <v>0</v>
      </c>
      <c r="AI22" s="708">
        <f>IF(AND($Y22&lt;&gt;0,$Y22&lt;=$BL$5),$Y$12,IF(AND($U22&lt;&gt;0,$U22&lt;=$BL$5),$U$12,IF(AND($Q22&lt;&gt;0,$Q22&lt;=$BL$5),$Q$12,IF(AND($M22&lt;&gt;0,$M22&lt;=$BL$5),$M$12,IF(AND($J22&lt;&gt;0,$J22&lt;=$BL$5),$J$12,0)))))</f>
        <v>1</v>
      </c>
      <c r="AJ22" s="718">
        <f t="shared" si="42"/>
        <v>1</v>
      </c>
      <c r="AK22" s="718">
        <f t="shared" si="37"/>
        <v>0</v>
      </c>
      <c r="AL22" s="719">
        <f>AI22-AJ22</f>
        <v>0</v>
      </c>
      <c r="AM22" s="720">
        <f>AI22-AK22</f>
        <v>1</v>
      </c>
      <c r="AN22" s="724">
        <f>AI22*F22</f>
        <v>4.3299999999999998E-2</v>
      </c>
      <c r="AO22" s="725">
        <f>AJ22*F22</f>
        <v>4.3299999999999998E-2</v>
      </c>
      <c r="AP22" s="725">
        <f>AK22*F22</f>
        <v>0</v>
      </c>
      <c r="AQ22" s="726">
        <f>AN22-AO22</f>
        <v>0</v>
      </c>
      <c r="AR22" s="681"/>
      <c r="AU22" s="680"/>
      <c r="AZ22" s="831">
        <v>4.3299999999999998E-2</v>
      </c>
      <c r="BA22" s="837"/>
      <c r="BD22" s="500" t="s">
        <v>206</v>
      </c>
      <c r="BE22" s="768">
        <f>AG22*F22</f>
        <v>4.3299999999999998E-2</v>
      </c>
      <c r="BF22" s="769">
        <f>AI22*F22</f>
        <v>4.3299999999999998E-2</v>
      </c>
      <c r="BG22" s="768">
        <f>IF(AND($W22&lt;&gt;0,$W22&lt;=$BL$6),$W$12,IF(AND($S22&lt;&gt;0,$S22&lt;=$BL$6),$S$12,IF(AND($O22&lt;&gt;0,$O22&lt;=$BL$6),$O$12,IF(AND($K22&lt;&gt;0,$K22&lt;=$BL$6),$K$12,IF(AND($H22&lt;&gt;0,$H22&lt;=$BL$6),$H$12,0)))))*$F22</f>
        <v>4.3299999999999998E-2</v>
      </c>
      <c r="BH22" s="763">
        <f>IF(AND($W22&lt;&gt;0,$W22&lt;=$BL$5),$W$12,IF(AND($S22&lt;&gt;0,$S22&lt;=$BL$5),$S$12,IF(AND($O22&lt;&gt;0,$O22&lt;=$BL$5),$O$12,IF(AND($K22&lt;&gt;0,$K22&lt;=$BL$5),$K$12,IF(AND($H22&lt;&gt;0,$H22&lt;=$BL$5),$H$12,0)))))*$F22</f>
        <v>4.3299999999999998E-2</v>
      </c>
      <c r="BI22" s="758">
        <f>IF(AND($X22&lt;&gt;0,$X22&lt;=$BL$6),$X$12,IF(AND($T22&lt;&gt;0,$T22&lt;=$BL$6),$T$12,IF(AND($P22&lt;&gt;0,$P22&lt;=$BL$6),$P$12,IF(AND($L22&lt;&gt;0,$L22&lt;=$BL$6),$L$12,IF(AND($I22&lt;&gt;0,$I22&lt;=$BL$6),$I$12,0)))))*$F22</f>
        <v>0</v>
      </c>
      <c r="BJ22" s="763">
        <f>IF(AND($X22&lt;&gt;0,$X22&lt;=$BL$5),$X$12,IF(AND($T22&lt;&gt;0,$T22&lt;=$BL$5),$T$12,IF(AND($P22&lt;&gt;0,$P22&lt;=$BL$5),$P$12,IF(AND($L22&lt;&gt;0,$L22&lt;=$BL$5),$L$12,IF(AND($I22&lt;&gt;0,$I22&lt;=$BL$5),$I$12,0)))))*$F22</f>
        <v>0</v>
      </c>
      <c r="BL22" s="681"/>
      <c r="BM22" s="695">
        <v>0</v>
      </c>
      <c r="BN22" s="695">
        <f>IF(AND($W22&lt;&gt;0,$W22&lt;=BN$12),$W$12*$F22,IF(AND($S22&lt;&gt;0,$S22&lt;=BN$12),$S$12*$F22,IF(AND($O22&lt;&gt;0,$O22&lt;=BN$12),$O$12*$F22,IF(AND($K22&lt;&gt;0,$K22&lt;=BN$12),$K$12*$F22,IF(AND($H22&lt;&gt;0,$H22&lt;=BN$12),$H$12*$F22,0)))))</f>
        <v>1.0825E-2</v>
      </c>
      <c r="BO22" s="695">
        <f t="shared" si="34"/>
        <v>2.1649999999999999E-2</v>
      </c>
      <c r="BP22" s="695">
        <f t="shared" si="34"/>
        <v>3.2474999999999997E-2</v>
      </c>
      <c r="BQ22" s="695">
        <f t="shared" si="34"/>
        <v>4.3299999999999998E-2</v>
      </c>
      <c r="BR22" s="695">
        <f t="shared" si="34"/>
        <v>4.3299999999999998E-2</v>
      </c>
      <c r="BS22" s="695">
        <f t="shared" si="34"/>
        <v>4.3299999999999998E-2</v>
      </c>
      <c r="BT22" s="695">
        <f t="shared" si="34"/>
        <v>4.3299999999999998E-2</v>
      </c>
      <c r="BU22" s="695">
        <f t="shared" si="34"/>
        <v>4.3299999999999998E-2</v>
      </c>
      <c r="BV22" s="695">
        <f t="shared" si="34"/>
        <v>4.3299999999999998E-2</v>
      </c>
      <c r="BW22" s="695">
        <f t="shared" si="34"/>
        <v>4.3299999999999998E-2</v>
      </c>
      <c r="BX22" s="695">
        <f t="shared" si="34"/>
        <v>4.3299999999999998E-2</v>
      </c>
      <c r="BY22" s="695">
        <f t="shared" si="34"/>
        <v>4.3299999999999998E-2</v>
      </c>
      <c r="BZ22" s="695">
        <f t="shared" si="34"/>
        <v>4.3299999999999998E-2</v>
      </c>
      <c r="CA22" s="695">
        <f t="shared" si="34"/>
        <v>4.3299999999999998E-2</v>
      </c>
      <c r="CB22" s="695">
        <f t="shared" si="34"/>
        <v>4.3299999999999998E-2</v>
      </c>
      <c r="CC22" s="695">
        <f t="shared" si="34"/>
        <v>4.3299999999999998E-2</v>
      </c>
      <c r="CD22" s="695">
        <f t="shared" si="34"/>
        <v>4.3299999999999998E-2</v>
      </c>
      <c r="CE22" s="695">
        <f t="shared" si="34"/>
        <v>4.3299999999999998E-2</v>
      </c>
      <c r="CF22" s="695">
        <f t="shared" si="34"/>
        <v>4.3299999999999998E-2</v>
      </c>
      <c r="CG22" s="695">
        <f t="shared" si="34"/>
        <v>4.3299999999999998E-2</v>
      </c>
      <c r="CH22" s="695">
        <f>IF(AND($W22&lt;&gt;0,$W22&lt;=CH$12),$W$12*$F22,IF(AND($S22&lt;&gt;0,$S22&lt;=CH$12),$S$12*$F22,IF(AND($O22&lt;&gt;0,$O22&lt;=CH$12),$O$12*$F22,IF(AND($K22&lt;&gt;0,$K22&lt;=CH$12),$K$12*$F22,IF(AND($H22&lt;&gt;0,$H22&lt;=CH$12),$H$12*$F22,0)))))</f>
        <v>4.3299999999999998E-2</v>
      </c>
      <c r="CI22" s="680"/>
      <c r="CK22" s="681"/>
      <c r="CL22" s="695">
        <v>0</v>
      </c>
      <c r="CM22" s="695">
        <f>IF(AND($X22&lt;&gt;0,$X22&lt;=CM$12),$X$12*$F22,IF(AND($T22&lt;&gt;0,$T22&lt;=CM$12),$T$12*$F22,IF(AND($P22&lt;&gt;0,$P22&lt;=CM$12),$P$12*$F22,IF(AND($L22&lt;&gt;0,$L22&lt;=CM$12),$L$12*$F22,IF(AND($I22&lt;&gt;0,$I22&lt;=CM$12),$I$12*$F22,0)))))</f>
        <v>0</v>
      </c>
      <c r="CN22" s="695">
        <f t="shared" si="35"/>
        <v>0</v>
      </c>
      <c r="CO22" s="695">
        <f t="shared" si="35"/>
        <v>0</v>
      </c>
      <c r="CP22" s="695">
        <f t="shared" si="35"/>
        <v>0</v>
      </c>
      <c r="CQ22" s="695">
        <f t="shared" si="35"/>
        <v>0</v>
      </c>
      <c r="CR22" s="695">
        <f t="shared" si="35"/>
        <v>0</v>
      </c>
      <c r="CS22" s="695">
        <f t="shared" si="35"/>
        <v>0</v>
      </c>
      <c r="CT22" s="695">
        <f t="shared" si="35"/>
        <v>0</v>
      </c>
      <c r="CU22" s="695">
        <f t="shared" si="35"/>
        <v>0</v>
      </c>
      <c r="CV22" s="695">
        <f t="shared" si="35"/>
        <v>0</v>
      </c>
      <c r="CW22" s="695">
        <f t="shared" si="35"/>
        <v>0</v>
      </c>
      <c r="CX22" s="695">
        <f t="shared" si="35"/>
        <v>0</v>
      </c>
      <c r="CY22" s="695">
        <f t="shared" si="35"/>
        <v>0</v>
      </c>
      <c r="CZ22" s="695">
        <f t="shared" si="35"/>
        <v>0</v>
      </c>
      <c r="DA22" s="695">
        <f t="shared" si="35"/>
        <v>0</v>
      </c>
      <c r="DB22" s="695">
        <f t="shared" si="35"/>
        <v>0</v>
      </c>
      <c r="DC22" s="695">
        <f t="shared" si="35"/>
        <v>0</v>
      </c>
      <c r="DD22" s="695">
        <f t="shared" si="35"/>
        <v>0</v>
      </c>
      <c r="DE22" s="695">
        <f t="shared" si="35"/>
        <v>0</v>
      </c>
      <c r="DF22" s="695">
        <f t="shared" si="35"/>
        <v>0</v>
      </c>
      <c r="DG22" s="695">
        <f t="shared" si="35"/>
        <v>0</v>
      </c>
      <c r="DH22" s="680"/>
      <c r="DK22" s="681"/>
      <c r="DL22" s="695">
        <v>0</v>
      </c>
      <c r="DM22" s="695">
        <f>IF(AND($Y22&lt;&gt;0,$Y22&lt;=DM$12),$Y$12*$F22,IF(AND($U22&lt;&gt;0,$U22&lt;=DM$12),$U$12*$F22,IF(AND($Q22&lt;&gt;0,$Q22&lt;=DM$12),$Q$12*$F22,IF(AND($M22&lt;&gt;0,$M22&lt;=DM$12),$M$12*$F22,IF(AND($J22&lt;&gt;0,$J22&lt;=DM$12),$J$12*$F22,0)))))</f>
        <v>3.2474999999999997E-2</v>
      </c>
      <c r="DN22" s="695">
        <f t="shared" si="36"/>
        <v>4.3299999999999998E-2</v>
      </c>
      <c r="DO22" s="695">
        <f t="shared" si="36"/>
        <v>4.3299999999999998E-2</v>
      </c>
      <c r="DP22" s="695">
        <f t="shared" si="36"/>
        <v>4.3299999999999998E-2</v>
      </c>
      <c r="DQ22" s="695">
        <f t="shared" si="36"/>
        <v>4.3299999999999998E-2</v>
      </c>
      <c r="DR22" s="695">
        <f t="shared" si="36"/>
        <v>4.3299999999999998E-2</v>
      </c>
      <c r="DS22" s="695">
        <f t="shared" si="36"/>
        <v>4.3299999999999998E-2</v>
      </c>
      <c r="DT22" s="695">
        <f t="shared" si="36"/>
        <v>4.3299999999999998E-2</v>
      </c>
      <c r="DU22" s="695">
        <f t="shared" si="36"/>
        <v>4.3299999999999998E-2</v>
      </c>
      <c r="DV22" s="695">
        <f t="shared" si="36"/>
        <v>4.3299999999999998E-2</v>
      </c>
      <c r="DW22" s="695">
        <f t="shared" si="36"/>
        <v>4.3299999999999998E-2</v>
      </c>
      <c r="DX22" s="695">
        <f t="shared" si="36"/>
        <v>4.3299999999999998E-2</v>
      </c>
      <c r="DY22" s="695">
        <f t="shared" si="36"/>
        <v>4.3299999999999998E-2</v>
      </c>
      <c r="DZ22" s="695">
        <f t="shared" si="36"/>
        <v>4.3299999999999998E-2</v>
      </c>
      <c r="EA22" s="695">
        <f t="shared" si="36"/>
        <v>4.3299999999999998E-2</v>
      </c>
      <c r="EB22" s="695">
        <f t="shared" si="36"/>
        <v>4.3299999999999998E-2</v>
      </c>
      <c r="EC22" s="695">
        <f t="shared" si="36"/>
        <v>4.3299999999999998E-2</v>
      </c>
      <c r="ED22" s="695">
        <f t="shared" si="36"/>
        <v>4.3299999999999998E-2</v>
      </c>
      <c r="EE22" s="695">
        <f t="shared" si="36"/>
        <v>4.3299999999999998E-2</v>
      </c>
      <c r="EF22" s="695">
        <f t="shared" si="36"/>
        <v>4.3299999999999998E-2</v>
      </c>
      <c r="EG22" s="695">
        <f t="shared" si="36"/>
        <v>4.3299999999999998E-2</v>
      </c>
      <c r="EH22" s="699"/>
    </row>
    <row r="23" spans="1:138" ht="14">
      <c r="A23" s="687" t="s">
        <v>207</v>
      </c>
      <c r="B23" s="791" t="s">
        <v>251</v>
      </c>
      <c r="C23" s="669" t="s">
        <v>205</v>
      </c>
      <c r="D23" s="668"/>
      <c r="E23" s="668"/>
      <c r="F23" s="673">
        <v>0.1125</v>
      </c>
      <c r="G23" s="668"/>
      <c r="H23" s="743">
        <v>46143</v>
      </c>
      <c r="I23" s="738"/>
      <c r="J23" s="742">
        <v>46113</v>
      </c>
      <c r="K23" s="742">
        <f>H23+((O23-H23)*0.5)</f>
        <v>46150.5</v>
      </c>
      <c r="L23" s="738"/>
      <c r="M23" s="776">
        <v>46117</v>
      </c>
      <c r="N23" s="738"/>
      <c r="O23" s="742">
        <f>H23+((W23-H23)*0.5)</f>
        <v>46158</v>
      </c>
      <c r="P23" s="668"/>
      <c r="Q23" s="742">
        <v>46119</v>
      </c>
      <c r="R23" s="742"/>
      <c r="S23" s="742">
        <f>O23+((W23-O23)*0.5)</f>
        <v>46165.5</v>
      </c>
      <c r="T23" s="742"/>
      <c r="U23" s="742">
        <v>46131</v>
      </c>
      <c r="V23" s="742"/>
      <c r="W23" s="742">
        <v>46173</v>
      </c>
      <c r="X23" s="742"/>
      <c r="Y23" s="742">
        <v>46126</v>
      </c>
      <c r="Z23" s="742"/>
      <c r="AA23" s="742"/>
      <c r="AB23" s="738"/>
      <c r="AC23" s="738"/>
      <c r="AD23" s="738"/>
      <c r="AE23" s="711">
        <f t="shared" ref="AE23:AE24" si="47">AN23</f>
        <v>0.1125</v>
      </c>
      <c r="AG23" s="717">
        <f t="shared" ref="AG23:AG24" si="48">IF(AND($Y23&lt;&gt;0,$Y23&lt;=$BL$6),$Y$12,IF(AND($U23&lt;&gt;0,$U23&lt;=$BL$6),$U$12,IF(AND($Q23&lt;&gt;0,$Q23&lt;=$BL$6),$Q$12,IF(AND($M23&lt;&gt;0,$M23&lt;=$BL$6),$M$12,IF(AND($J23&lt;&gt;0,$J23&lt;=$BL$6),$J$12,0)))))</f>
        <v>1</v>
      </c>
      <c r="AH23" s="707">
        <f t="shared" ref="AH23:AH24" si="49">AI23-AG23</f>
        <v>0</v>
      </c>
      <c r="AI23" s="708">
        <f t="shared" ref="AI23:AI24" si="50">IF(AND($Y23&lt;&gt;0,$Y23&lt;=$BL$5),$Y$12,IF(AND($U23&lt;&gt;0,$U23&lt;=$BL$5),$U$12,IF(AND($Q23&lt;&gt;0,$Q23&lt;=$BL$5),$Q$12,IF(AND($M23&lt;&gt;0,$M23&lt;=$BL$5),$M$12,IF(AND($J23&lt;&gt;0,$J23&lt;=$BL$5),$J$12,0)))))</f>
        <v>1</v>
      </c>
      <c r="AJ23" s="718">
        <f t="shared" si="42"/>
        <v>1</v>
      </c>
      <c r="AK23" s="718">
        <f t="shared" si="37"/>
        <v>0</v>
      </c>
      <c r="AL23" s="719">
        <f t="shared" ref="AL23:AL24" si="51">AI23-AJ23</f>
        <v>0</v>
      </c>
      <c r="AM23" s="720">
        <f t="shared" ref="AM23:AM24" si="52">AI23-AK23</f>
        <v>1</v>
      </c>
      <c r="AN23" s="724">
        <f t="shared" ref="AN23:AN24" si="53">AI23*F23</f>
        <v>0.1125</v>
      </c>
      <c r="AO23" s="725">
        <f t="shared" ref="AO23:AO24" si="54">AJ23*F23</f>
        <v>0.1125</v>
      </c>
      <c r="AP23" s="725">
        <f t="shared" ref="AP23:AP24" si="55">AK23*F23</f>
        <v>0</v>
      </c>
      <c r="AQ23" s="726">
        <f t="shared" ref="AQ23:AQ24" si="56">AN23-AO23</f>
        <v>0</v>
      </c>
      <c r="AR23" s="681"/>
      <c r="AU23" s="680"/>
      <c r="AZ23" s="831">
        <v>0.1125</v>
      </c>
      <c r="BA23" s="837"/>
      <c r="BD23" s="764" t="s">
        <v>207</v>
      </c>
      <c r="BE23" s="768">
        <f t="shared" ref="BE23:BE24" si="57">AG23*F23</f>
        <v>0.1125</v>
      </c>
      <c r="BF23" s="769">
        <f t="shared" ref="BF23:BF24" si="58">AI23*F23</f>
        <v>0.1125</v>
      </c>
      <c r="BG23" s="768">
        <f>IF(AND($W23&lt;&gt;0,$W23&lt;=$BL$6),$W$12,IF(AND($S23&lt;&gt;0,$S23&lt;=$BL$6),$S$12,IF(AND($O23&lt;&gt;0,$O23&lt;=$BL$6),$O$12,IF(AND($K23&lt;&gt;0,$K23&lt;=$BL$6),$K$12,IF(AND($H23&lt;&gt;0,$H23&lt;=$BL$6),$H$12,0)))))*$F23</f>
        <v>0.1125</v>
      </c>
      <c r="BH23" s="763">
        <f>IF(AND($W23&lt;&gt;0,$W23&lt;=$BL$5),$W$12,IF(AND($S23&lt;&gt;0,$S23&lt;=$BL$5),$S$12,IF(AND($O23&lt;&gt;0,$O23&lt;=$BL$5),$O$12,IF(AND($K23&lt;&gt;0,$K23&lt;=$BL$5),$K$12,IF(AND($H23&lt;&gt;0,$H23&lt;=$BL$5),$H$12,0)))))*$F23</f>
        <v>0.1125</v>
      </c>
      <c r="BI23" s="758">
        <f>IF(AND($X23&lt;&gt;0,$X23&lt;=$BL$6),$X$12,IF(AND($T23&lt;&gt;0,$T23&lt;=$BL$6),$T$12,IF(AND($P23&lt;&gt;0,$P23&lt;=$BL$6),$P$12,IF(AND($L23&lt;&gt;0,$L23&lt;=$BL$6),$L$12,IF(AND($I23&lt;&gt;0,$I23&lt;=$BL$6),$I$12,0)))))*$F23</f>
        <v>0</v>
      </c>
      <c r="BJ23" s="763">
        <f>IF(AND($X23&lt;&gt;0,$X23&lt;=$BL$5),$X$12,IF(AND($T23&lt;&gt;0,$T23&lt;=$BL$5),$T$12,IF(AND($P23&lt;&gt;0,$P23&lt;=$BL$5),$P$12,IF(AND($L23&lt;&gt;0,$L23&lt;=$BL$5),$L$12,IF(AND($I23&lt;&gt;0,$I23&lt;=$BL$5),$I$12,0)))))*$F23</f>
        <v>0</v>
      </c>
      <c r="BL23" s="681"/>
      <c r="BM23" s="695">
        <v>0</v>
      </c>
      <c r="BN23" s="695">
        <f>IF(AND($W23&lt;&gt;0,$W23&lt;=BN$12),$W$12*$F23,IF(AND($S23&lt;&gt;0,$S23&lt;=BN$12),$S$12*$F23,IF(AND($O23&lt;&gt;0,$O23&lt;=BN$12),$O$12*$F23,IF(AND($K23&lt;&gt;0,$K23&lt;=BN$12),$K$12*$F23,IF(AND($H23&lt;&gt;0,$H23&lt;=BN$12),$H$12*$F23,0)))))</f>
        <v>0</v>
      </c>
      <c r="BO23" s="695">
        <f t="shared" si="34"/>
        <v>0</v>
      </c>
      <c r="BP23" s="695">
        <f t="shared" si="34"/>
        <v>0</v>
      </c>
      <c r="BQ23" s="695">
        <f t="shared" si="34"/>
        <v>5.6250000000000007E-3</v>
      </c>
      <c r="BR23" s="695">
        <f t="shared" si="34"/>
        <v>2.8125000000000001E-2</v>
      </c>
      <c r="BS23" s="695">
        <f t="shared" si="34"/>
        <v>5.6250000000000001E-2</v>
      </c>
      <c r="BT23" s="695">
        <f t="shared" si="34"/>
        <v>8.4375000000000006E-2</v>
      </c>
      <c r="BU23" s="695">
        <f t="shared" si="34"/>
        <v>0.1125</v>
      </c>
      <c r="BV23" s="695">
        <f t="shared" si="34"/>
        <v>0.1125</v>
      </c>
      <c r="BW23" s="695">
        <f t="shared" si="34"/>
        <v>0.1125</v>
      </c>
      <c r="BX23" s="695">
        <f t="shared" si="34"/>
        <v>0.1125</v>
      </c>
      <c r="BY23" s="695">
        <f t="shared" si="34"/>
        <v>0.1125</v>
      </c>
      <c r="BZ23" s="695">
        <f t="shared" si="34"/>
        <v>0.1125</v>
      </c>
      <c r="CA23" s="695">
        <f t="shared" si="34"/>
        <v>0.1125</v>
      </c>
      <c r="CB23" s="695">
        <f t="shared" si="34"/>
        <v>0.1125</v>
      </c>
      <c r="CC23" s="695">
        <f t="shared" si="34"/>
        <v>0.1125</v>
      </c>
      <c r="CD23" s="695">
        <f t="shared" si="34"/>
        <v>0.1125</v>
      </c>
      <c r="CE23" s="695">
        <f t="shared" si="34"/>
        <v>0.1125</v>
      </c>
      <c r="CF23" s="695">
        <f t="shared" si="34"/>
        <v>0.1125</v>
      </c>
      <c r="CG23" s="695">
        <f t="shared" si="34"/>
        <v>0.1125</v>
      </c>
      <c r="CH23" s="695">
        <f>IF(AND($W23&lt;&gt;0,$W23&lt;=CH$12),$W$12*$F23,IF(AND($S23&lt;&gt;0,$S23&lt;=CH$12),$S$12*$F23,IF(AND($O23&lt;&gt;0,$O23&lt;=CH$12),$O$12*$F23,IF(AND($K23&lt;&gt;0,$K23&lt;=CH$12),$K$12*$F23,IF(AND($H23&lt;&gt;0,$H23&lt;=CH$12),$H$12*$F23,0)))))</f>
        <v>0.1125</v>
      </c>
      <c r="CI23" s="680"/>
      <c r="CK23" s="681"/>
      <c r="CL23" s="695">
        <v>0</v>
      </c>
      <c r="CM23" s="695">
        <f>IF(AND($X23&lt;&gt;0,$X23&lt;=CM$12),$X$12*$F23,IF(AND($T23&lt;&gt;0,$T23&lt;=CM$12),$T$12*$F23,IF(AND($P23&lt;&gt;0,$P23&lt;=CM$12),$P$12*$F23,IF(AND($L23&lt;&gt;0,$L23&lt;=CM$12),$L$12*$F23,IF(AND($I23&lt;&gt;0,$I23&lt;=CM$12),$I$12*$F23,0)))))</f>
        <v>0</v>
      </c>
      <c r="CN23" s="695">
        <f t="shared" si="35"/>
        <v>0</v>
      </c>
      <c r="CO23" s="695">
        <f t="shared" si="35"/>
        <v>0</v>
      </c>
      <c r="CP23" s="695">
        <f t="shared" si="35"/>
        <v>0</v>
      </c>
      <c r="CQ23" s="695">
        <f t="shared" si="35"/>
        <v>0</v>
      </c>
      <c r="CR23" s="695">
        <f t="shared" si="35"/>
        <v>0</v>
      </c>
      <c r="CS23" s="695">
        <f t="shared" si="35"/>
        <v>0</v>
      </c>
      <c r="CT23" s="695">
        <f t="shared" si="35"/>
        <v>0</v>
      </c>
      <c r="CU23" s="695">
        <f t="shared" si="35"/>
        <v>0</v>
      </c>
      <c r="CV23" s="695">
        <f t="shared" si="35"/>
        <v>0</v>
      </c>
      <c r="CW23" s="695">
        <f t="shared" si="35"/>
        <v>0</v>
      </c>
      <c r="CX23" s="695">
        <f t="shared" si="35"/>
        <v>0</v>
      </c>
      <c r="CY23" s="695">
        <f t="shared" si="35"/>
        <v>0</v>
      </c>
      <c r="CZ23" s="695">
        <f t="shared" si="35"/>
        <v>0</v>
      </c>
      <c r="DA23" s="695">
        <f t="shared" si="35"/>
        <v>0</v>
      </c>
      <c r="DB23" s="695">
        <f t="shared" si="35"/>
        <v>0</v>
      </c>
      <c r="DC23" s="695">
        <f t="shared" si="35"/>
        <v>0</v>
      </c>
      <c r="DD23" s="695">
        <f t="shared" si="35"/>
        <v>0</v>
      </c>
      <c r="DE23" s="695">
        <f t="shared" si="35"/>
        <v>0</v>
      </c>
      <c r="DF23" s="695">
        <f t="shared" si="35"/>
        <v>0</v>
      </c>
      <c r="DG23" s="695">
        <f t="shared" si="35"/>
        <v>0</v>
      </c>
      <c r="DH23" s="680"/>
      <c r="DK23" s="681"/>
      <c r="DL23" s="695">
        <v>0</v>
      </c>
      <c r="DM23" s="695">
        <f t="shared" ref="DM23:DM24" si="59">IF(AND($Y23&lt;&gt;0,$Y23&lt;=DM$12),$Y$12*$F23,IF(AND($U23&lt;&gt;0,$U23&lt;=DM$12),$U$12*$F23,IF(AND($Q23&lt;&gt;0,$Q23&lt;=DM$12),$Q$12*$F23,IF(AND($M23&lt;&gt;0,$M23&lt;=DM$12),$M$12*$F23,IF(AND($J23&lt;&gt;0,$J23&lt;=DM$12),$J$12*$F23,0)))))</f>
        <v>5.6250000000000001E-2</v>
      </c>
      <c r="DN23" s="695">
        <f t="shared" si="36"/>
        <v>0.1125</v>
      </c>
      <c r="DO23" s="695">
        <f t="shared" si="36"/>
        <v>0.1125</v>
      </c>
      <c r="DP23" s="695">
        <f t="shared" si="36"/>
        <v>0.1125</v>
      </c>
      <c r="DQ23" s="695">
        <f t="shared" si="36"/>
        <v>0.1125</v>
      </c>
      <c r="DR23" s="695">
        <f t="shared" si="36"/>
        <v>0.1125</v>
      </c>
      <c r="DS23" s="695">
        <f t="shared" si="36"/>
        <v>0.1125</v>
      </c>
      <c r="DT23" s="695">
        <f t="shared" si="36"/>
        <v>0.1125</v>
      </c>
      <c r="DU23" s="695">
        <f t="shared" si="36"/>
        <v>0.1125</v>
      </c>
      <c r="DV23" s="695">
        <f t="shared" si="36"/>
        <v>0.1125</v>
      </c>
      <c r="DW23" s="695">
        <f t="shared" si="36"/>
        <v>0.1125</v>
      </c>
      <c r="DX23" s="695">
        <f t="shared" si="36"/>
        <v>0.1125</v>
      </c>
      <c r="DY23" s="695">
        <f t="shared" si="36"/>
        <v>0.1125</v>
      </c>
      <c r="DZ23" s="695">
        <f t="shared" si="36"/>
        <v>0.1125</v>
      </c>
      <c r="EA23" s="695">
        <f t="shared" si="36"/>
        <v>0.1125</v>
      </c>
      <c r="EB23" s="695">
        <f t="shared" si="36"/>
        <v>0.1125</v>
      </c>
      <c r="EC23" s="695">
        <f t="shared" si="36"/>
        <v>0.1125</v>
      </c>
      <c r="ED23" s="695">
        <f t="shared" si="36"/>
        <v>0.1125</v>
      </c>
      <c r="EE23" s="695">
        <f t="shared" si="36"/>
        <v>0.1125</v>
      </c>
      <c r="EF23" s="695">
        <f t="shared" si="36"/>
        <v>0.1125</v>
      </c>
      <c r="EG23" s="695">
        <f t="shared" si="36"/>
        <v>0.1125</v>
      </c>
      <c r="EH23" s="699"/>
    </row>
    <row r="24" spans="1:138" ht="14">
      <c r="A24" s="686" t="s">
        <v>208</v>
      </c>
      <c r="B24" s="791" t="s">
        <v>252</v>
      </c>
      <c r="C24" s="674" t="s">
        <v>203</v>
      </c>
      <c r="D24" s="668"/>
      <c r="E24" s="668"/>
      <c r="F24" s="673">
        <v>1.7500000000000002E-2</v>
      </c>
      <c r="G24" s="668"/>
      <c r="H24" s="743">
        <v>46174</v>
      </c>
      <c r="I24" s="738"/>
      <c r="J24" s="742">
        <v>46113</v>
      </c>
      <c r="K24" s="742">
        <f>H24+((O24-H24)*0.5)</f>
        <v>46181.25</v>
      </c>
      <c r="L24" s="738"/>
      <c r="M24" s="776">
        <v>46117</v>
      </c>
      <c r="N24" s="738"/>
      <c r="O24" s="742">
        <f>H24+((W24-H24)*0.5)</f>
        <v>46188.5</v>
      </c>
      <c r="P24" s="668"/>
      <c r="Q24" s="742">
        <v>46119</v>
      </c>
      <c r="R24" s="742"/>
      <c r="S24" s="742">
        <f>O24+((W24-O24)*0.5)</f>
        <v>46195.75</v>
      </c>
      <c r="T24" s="742"/>
      <c r="U24" s="742">
        <v>46122</v>
      </c>
      <c r="V24" s="742"/>
      <c r="W24" s="742">
        <v>46203</v>
      </c>
      <c r="X24" s="742"/>
      <c r="Y24" s="742">
        <v>46126</v>
      </c>
      <c r="Z24" s="742"/>
      <c r="AA24" s="742"/>
      <c r="AB24" s="738"/>
      <c r="AC24" s="738"/>
      <c r="AD24" s="738"/>
      <c r="AE24" s="711">
        <f t="shared" si="47"/>
        <v>1.7500000000000002E-2</v>
      </c>
      <c r="AG24" s="717">
        <f t="shared" si="48"/>
        <v>1</v>
      </c>
      <c r="AH24" s="707">
        <f t="shared" si="49"/>
        <v>0</v>
      </c>
      <c r="AI24" s="708">
        <f t="shared" si="50"/>
        <v>1</v>
      </c>
      <c r="AJ24" s="718">
        <f t="shared" si="42"/>
        <v>1</v>
      </c>
      <c r="AK24" s="718">
        <f t="shared" si="37"/>
        <v>0</v>
      </c>
      <c r="AL24" s="719">
        <f t="shared" si="51"/>
        <v>0</v>
      </c>
      <c r="AM24" s="720">
        <f t="shared" si="52"/>
        <v>1</v>
      </c>
      <c r="AN24" s="724">
        <f t="shared" si="53"/>
        <v>1.7500000000000002E-2</v>
      </c>
      <c r="AO24" s="725">
        <f t="shared" si="54"/>
        <v>1.7500000000000002E-2</v>
      </c>
      <c r="AP24" s="725">
        <f t="shared" si="55"/>
        <v>0</v>
      </c>
      <c r="AQ24" s="726">
        <f t="shared" si="56"/>
        <v>0</v>
      </c>
      <c r="AR24" s="681"/>
      <c r="AU24" s="680"/>
      <c r="AZ24" s="831">
        <v>1.7500000000000002E-2</v>
      </c>
      <c r="BA24" s="837"/>
      <c r="BD24" s="500" t="s">
        <v>208</v>
      </c>
      <c r="BE24" s="768">
        <f t="shared" si="57"/>
        <v>1.7500000000000002E-2</v>
      </c>
      <c r="BF24" s="769">
        <f t="shared" si="58"/>
        <v>1.7500000000000002E-2</v>
      </c>
      <c r="BG24" s="768">
        <f>IF(AND($W24&lt;&gt;0,$W24&lt;=$BL$6),$W$12,IF(AND($S24&lt;&gt;0,$S24&lt;=$BL$6),$S$12,IF(AND($O24&lt;&gt;0,$O24&lt;=$BL$6),$O$12,IF(AND($K24&lt;&gt;0,$K24&lt;=$BL$6),$K$12,IF(AND($H24&lt;&gt;0,$H24&lt;=$BL$6),$H$12,0)))))*$F24</f>
        <v>1.3125000000000001E-2</v>
      </c>
      <c r="BH24" s="763">
        <f>IF(AND($W24&lt;&gt;0,$W24&lt;=$BL$5),$W$12,IF(AND($S24&lt;&gt;0,$S24&lt;=$BL$5),$S$12,IF(AND($O24&lt;&gt;0,$O24&lt;=$BL$5),$O$12,IF(AND($K24&lt;&gt;0,$K24&lt;=$BL$5),$K$12,IF(AND($H24&lt;&gt;0,$H24&lt;=$BL$5),$H$12,0)))))*$F24</f>
        <v>1.7500000000000002E-2</v>
      </c>
      <c r="BI24" s="758">
        <f>IF(AND($X24&lt;&gt;0,$X24&lt;=$BL$6),$X$12,IF(AND($T24&lt;&gt;0,$T24&lt;=$BL$6),$T$12,IF(AND($P24&lt;&gt;0,$P24&lt;=$BL$6),$P$12,IF(AND($L24&lt;&gt;0,$L24&lt;=$BL$6),$L$12,IF(AND($I24&lt;&gt;0,$I24&lt;=$BL$6),$I$12,0)))))*$F24</f>
        <v>0</v>
      </c>
      <c r="BJ24" s="763">
        <f>IF(AND($X24&lt;&gt;0,$X24&lt;=$BL$5),$X$12,IF(AND($T24&lt;&gt;0,$T24&lt;=$BL$5),$T$12,IF(AND($P24&lt;&gt;0,$P24&lt;=$BL$5),$P$12,IF(AND($L24&lt;&gt;0,$L24&lt;=$BL$5),$L$12,IF(AND($I24&lt;&gt;0,$I24&lt;=$BL$5),$I$12,0)))))*$F24</f>
        <v>0</v>
      </c>
      <c r="BL24" s="681"/>
      <c r="BM24" s="695">
        <v>0</v>
      </c>
      <c r="BN24" s="695">
        <f>IF(AND($W24&lt;&gt;0,$W24&lt;=BN$12),$W$12*$F24,IF(AND($S24&lt;&gt;0,$S24&lt;=BN$12),$S$12*$F24,IF(AND($O24&lt;&gt;0,$O24&lt;=BN$12),$O$12*$F24,IF(AND($K24&lt;&gt;0,$K24&lt;=BN$12),$K$12*$F24,IF(AND($H24&lt;&gt;0,$H24&lt;=BN$12),$H$12*$F24,0)))))</f>
        <v>0</v>
      </c>
      <c r="BO24" s="695">
        <f t="shared" si="34"/>
        <v>0</v>
      </c>
      <c r="BP24" s="695">
        <f t="shared" si="34"/>
        <v>0</v>
      </c>
      <c r="BQ24" s="695">
        <f t="shared" si="34"/>
        <v>0</v>
      </c>
      <c r="BR24" s="695">
        <f t="shared" si="34"/>
        <v>0</v>
      </c>
      <c r="BS24" s="695">
        <f t="shared" si="34"/>
        <v>0</v>
      </c>
      <c r="BT24" s="695">
        <f t="shared" si="34"/>
        <v>0</v>
      </c>
      <c r="BU24" s="695">
        <f t="shared" si="34"/>
        <v>0</v>
      </c>
      <c r="BV24" s="695">
        <f t="shared" si="34"/>
        <v>8.7500000000000013E-4</v>
      </c>
      <c r="BW24" s="695">
        <f t="shared" si="34"/>
        <v>4.3750000000000004E-3</v>
      </c>
      <c r="BX24" s="695">
        <f t="shared" si="34"/>
        <v>8.7500000000000008E-3</v>
      </c>
      <c r="BY24" s="695">
        <f t="shared" si="34"/>
        <v>1.3125000000000001E-2</v>
      </c>
      <c r="BZ24" s="695">
        <f t="shared" si="34"/>
        <v>1.7500000000000002E-2</v>
      </c>
      <c r="CA24" s="695">
        <f t="shared" si="34"/>
        <v>1.7500000000000002E-2</v>
      </c>
      <c r="CB24" s="695">
        <f t="shared" si="34"/>
        <v>1.7500000000000002E-2</v>
      </c>
      <c r="CC24" s="695">
        <f t="shared" si="34"/>
        <v>1.7500000000000002E-2</v>
      </c>
      <c r="CD24" s="695">
        <f t="shared" si="34"/>
        <v>1.7500000000000002E-2</v>
      </c>
      <c r="CE24" s="695">
        <f t="shared" si="34"/>
        <v>1.7500000000000002E-2</v>
      </c>
      <c r="CF24" s="695">
        <f t="shared" si="34"/>
        <v>1.7500000000000002E-2</v>
      </c>
      <c r="CG24" s="695">
        <f t="shared" si="34"/>
        <v>1.7500000000000002E-2</v>
      </c>
      <c r="CH24" s="695">
        <f>IF(AND($W24&lt;&gt;0,$W24&lt;=CH$12),$W$12*$F24,IF(AND($S24&lt;&gt;0,$S24&lt;=CH$12),$S$12*$F24,IF(AND($O24&lt;&gt;0,$O24&lt;=CH$12),$O$12*$F24,IF(AND($K24&lt;&gt;0,$K24&lt;=CH$12),$K$12*$F24,IF(AND($H24&lt;&gt;0,$H24&lt;=CH$12),$H$12*$F24,0)))))</f>
        <v>1.7500000000000002E-2</v>
      </c>
      <c r="CI24" s="680"/>
      <c r="CK24" s="681"/>
      <c r="CL24" s="695">
        <v>0</v>
      </c>
      <c r="CM24" s="695">
        <f>IF(AND($X24&lt;&gt;0,$X24&lt;=CM$12),$X$12*$F24,IF(AND($T24&lt;&gt;0,$T24&lt;=CM$12),$T$12*$F24,IF(AND($P24&lt;&gt;0,$P24&lt;=CM$12),$P$12*$F24,IF(AND($L24&lt;&gt;0,$L24&lt;=CM$12),$L$12*$F24,IF(AND($I24&lt;&gt;0,$I24&lt;=CM$12),$I$12*$F24,0)))))</f>
        <v>0</v>
      </c>
      <c r="CN24" s="695">
        <f t="shared" si="35"/>
        <v>0</v>
      </c>
      <c r="CO24" s="695">
        <f t="shared" si="35"/>
        <v>0</v>
      </c>
      <c r="CP24" s="695">
        <f t="shared" si="35"/>
        <v>0</v>
      </c>
      <c r="CQ24" s="695">
        <f t="shared" si="35"/>
        <v>0</v>
      </c>
      <c r="CR24" s="695">
        <f t="shared" si="35"/>
        <v>0</v>
      </c>
      <c r="CS24" s="695">
        <f t="shared" si="35"/>
        <v>0</v>
      </c>
      <c r="CT24" s="695">
        <f t="shared" si="35"/>
        <v>0</v>
      </c>
      <c r="CU24" s="695">
        <f t="shared" si="35"/>
        <v>0</v>
      </c>
      <c r="CV24" s="695">
        <f t="shared" si="35"/>
        <v>0</v>
      </c>
      <c r="CW24" s="695">
        <f t="shared" si="35"/>
        <v>0</v>
      </c>
      <c r="CX24" s="695">
        <f t="shared" si="35"/>
        <v>0</v>
      </c>
      <c r="CY24" s="695">
        <f t="shared" si="35"/>
        <v>0</v>
      </c>
      <c r="CZ24" s="695">
        <f t="shared" si="35"/>
        <v>0</v>
      </c>
      <c r="DA24" s="695">
        <f t="shared" si="35"/>
        <v>0</v>
      </c>
      <c r="DB24" s="695">
        <f t="shared" si="35"/>
        <v>0</v>
      </c>
      <c r="DC24" s="695">
        <f t="shared" si="35"/>
        <v>0</v>
      </c>
      <c r="DD24" s="695">
        <f t="shared" si="35"/>
        <v>0</v>
      </c>
      <c r="DE24" s="695">
        <f t="shared" si="35"/>
        <v>0</v>
      </c>
      <c r="DF24" s="695">
        <f t="shared" si="35"/>
        <v>0</v>
      </c>
      <c r="DG24" s="695">
        <f t="shared" si="35"/>
        <v>0</v>
      </c>
      <c r="DH24" s="680"/>
      <c r="DK24" s="681"/>
      <c r="DL24" s="695">
        <v>0</v>
      </c>
      <c r="DM24" s="695">
        <f t="shared" si="59"/>
        <v>1.3125000000000001E-2</v>
      </c>
      <c r="DN24" s="695">
        <f t="shared" si="36"/>
        <v>1.7500000000000002E-2</v>
      </c>
      <c r="DO24" s="695">
        <f t="shared" si="36"/>
        <v>1.7500000000000002E-2</v>
      </c>
      <c r="DP24" s="695">
        <f t="shared" si="36"/>
        <v>1.7500000000000002E-2</v>
      </c>
      <c r="DQ24" s="695">
        <f t="shared" si="36"/>
        <v>1.7500000000000002E-2</v>
      </c>
      <c r="DR24" s="695">
        <f t="shared" si="36"/>
        <v>1.7500000000000002E-2</v>
      </c>
      <c r="DS24" s="695">
        <f t="shared" si="36"/>
        <v>1.7500000000000002E-2</v>
      </c>
      <c r="DT24" s="695">
        <f t="shared" si="36"/>
        <v>1.7500000000000002E-2</v>
      </c>
      <c r="DU24" s="695">
        <f t="shared" si="36"/>
        <v>1.7500000000000002E-2</v>
      </c>
      <c r="DV24" s="695">
        <f t="shared" si="36"/>
        <v>1.7500000000000002E-2</v>
      </c>
      <c r="DW24" s="695">
        <f t="shared" si="36"/>
        <v>1.7500000000000002E-2</v>
      </c>
      <c r="DX24" s="695">
        <f t="shared" si="36"/>
        <v>1.7500000000000002E-2</v>
      </c>
      <c r="DY24" s="695">
        <f t="shared" si="36"/>
        <v>1.7500000000000002E-2</v>
      </c>
      <c r="DZ24" s="695">
        <f t="shared" si="36"/>
        <v>1.7500000000000002E-2</v>
      </c>
      <c r="EA24" s="695">
        <f t="shared" si="36"/>
        <v>1.7500000000000002E-2</v>
      </c>
      <c r="EB24" s="695">
        <f t="shared" si="36"/>
        <v>1.7500000000000002E-2</v>
      </c>
      <c r="EC24" s="695">
        <f t="shared" si="36"/>
        <v>1.7500000000000002E-2</v>
      </c>
      <c r="ED24" s="695">
        <f t="shared" si="36"/>
        <v>1.7500000000000002E-2</v>
      </c>
      <c r="EE24" s="695">
        <f t="shared" si="36"/>
        <v>1.7500000000000002E-2</v>
      </c>
      <c r="EF24" s="695">
        <f t="shared" si="36"/>
        <v>1.7500000000000002E-2</v>
      </c>
      <c r="EG24" s="695">
        <f t="shared" si="36"/>
        <v>1.7500000000000002E-2</v>
      </c>
      <c r="EH24" s="699"/>
    </row>
    <row r="25" spans="1:138" s="643" customFormat="1" ht="14">
      <c r="A25" s="684">
        <v>4</v>
      </c>
      <c r="B25" s="664"/>
      <c r="C25" s="665" t="s">
        <v>209</v>
      </c>
      <c r="D25" s="665"/>
      <c r="E25" s="666"/>
      <c r="F25" s="667">
        <f>SUBTOTAL(9,F26:F28)</f>
        <v>0.18540000000000001</v>
      </c>
      <c r="G25" s="666"/>
      <c r="H25" s="744"/>
      <c r="I25" s="739"/>
      <c r="J25" s="741"/>
      <c r="K25" s="741"/>
      <c r="L25" s="739"/>
      <c r="M25" s="744"/>
      <c r="N25" s="739"/>
      <c r="O25" s="741"/>
      <c r="P25" s="666"/>
      <c r="Q25" s="741"/>
      <c r="R25" s="741"/>
      <c r="S25" s="741"/>
      <c r="T25" s="741"/>
      <c r="U25" s="741"/>
      <c r="V25" s="741"/>
      <c r="W25" s="741"/>
      <c r="X25" s="741"/>
      <c r="Y25" s="741"/>
      <c r="Z25" s="741"/>
      <c r="AA25" s="741"/>
      <c r="AB25" s="739"/>
      <c r="AC25" s="739"/>
      <c r="AD25" s="739"/>
      <c r="AE25" s="710"/>
      <c r="AG25" s="721"/>
      <c r="AH25" s="709"/>
      <c r="AI25" s="709"/>
      <c r="AJ25" s="718"/>
      <c r="AK25" s="718"/>
      <c r="AM25" s="685"/>
      <c r="AN25" s="693"/>
      <c r="AQ25" s="685"/>
      <c r="AR25" s="693"/>
      <c r="AU25" s="685"/>
      <c r="AZ25" s="830">
        <v>0.18540000000000001</v>
      </c>
      <c r="BA25" s="836"/>
      <c r="BD25" s="761">
        <v>4</v>
      </c>
      <c r="BE25" s="767">
        <f>SUBTOTAL(9,BE26:BE28)</f>
        <v>0.18540000000000001</v>
      </c>
      <c r="BF25" s="762">
        <f>SUBTOTAL(9,BF26:BF28)</f>
        <v>0.18540000000000001</v>
      </c>
      <c r="BG25" s="767">
        <f t="shared" ref="BG25" si="60">SUBTOTAL(9,BG26:BG28)</f>
        <v>0.18540000000000001</v>
      </c>
      <c r="BH25" s="762">
        <f>SUBTOTAL(9,BH26:BH28)</f>
        <v>0.18540000000000001</v>
      </c>
      <c r="BI25" s="757">
        <f>SUBTOTAL(9,BI26:BI28)</f>
        <v>0</v>
      </c>
      <c r="BJ25" s="762">
        <f>SUBTOTAL(9,BJ26:BJ28)</f>
        <v>0</v>
      </c>
      <c r="BL25" s="693"/>
      <c r="BM25" s="697">
        <f>SUBTOTAL(9,BM26:BM28)</f>
        <v>0</v>
      </c>
      <c r="BN25" s="697">
        <f t="shared" ref="BN25:CD25" si="61">SUBTOTAL(9,BN26:BN28)</f>
        <v>0</v>
      </c>
      <c r="BO25" s="697">
        <f t="shared" si="61"/>
        <v>0</v>
      </c>
      <c r="BP25" s="697">
        <f t="shared" si="61"/>
        <v>0</v>
      </c>
      <c r="BQ25" s="697">
        <f t="shared" si="61"/>
        <v>7.3850000000000009E-3</v>
      </c>
      <c r="BR25" s="697">
        <f t="shared" si="61"/>
        <v>1.8384999999999999E-2</v>
      </c>
      <c r="BS25" s="697">
        <f t="shared" si="61"/>
        <v>5.0674999999999998E-2</v>
      </c>
      <c r="BT25" s="697">
        <f t="shared" si="61"/>
        <v>8.7600000000000011E-2</v>
      </c>
      <c r="BU25" s="697">
        <f t="shared" si="61"/>
        <v>0.10135</v>
      </c>
      <c r="BV25" s="697">
        <f t="shared" si="61"/>
        <v>0.13394999999999999</v>
      </c>
      <c r="BW25" s="697">
        <f t="shared" si="61"/>
        <v>0.18540000000000001</v>
      </c>
      <c r="BX25" s="697">
        <f t="shared" si="61"/>
        <v>0.18540000000000001</v>
      </c>
      <c r="BY25" s="697">
        <f t="shared" si="61"/>
        <v>0.18540000000000001</v>
      </c>
      <c r="BZ25" s="697">
        <f t="shared" si="61"/>
        <v>0.18540000000000001</v>
      </c>
      <c r="CA25" s="697">
        <f t="shared" si="61"/>
        <v>0.18540000000000001</v>
      </c>
      <c r="CB25" s="697">
        <f t="shared" si="61"/>
        <v>0.18540000000000001</v>
      </c>
      <c r="CC25" s="697">
        <f t="shared" si="61"/>
        <v>0.18540000000000001</v>
      </c>
      <c r="CD25" s="697">
        <f t="shared" si="61"/>
        <v>0.18540000000000001</v>
      </c>
      <c r="CE25" s="697">
        <f>SUBTOTAL(9,CE26:CE28)</f>
        <v>0.18540000000000001</v>
      </c>
      <c r="CF25" s="697">
        <f t="shared" ref="CF25" si="62">SUBTOTAL(9,CF26:CF28)</f>
        <v>0.18540000000000001</v>
      </c>
      <c r="CG25" s="697">
        <f t="shared" ref="CG25" si="63">SUBTOTAL(9,CG26:CG28)</f>
        <v>0.18540000000000001</v>
      </c>
      <c r="CH25" s="697">
        <f t="shared" ref="CH25" si="64">SUBTOTAL(9,CH26:CH28)</f>
        <v>0.18540000000000001</v>
      </c>
      <c r="CI25" s="685"/>
      <c r="CK25" s="693"/>
      <c r="CL25" s="697">
        <f>SUBTOTAL(9,CL26:CL28)</f>
        <v>0</v>
      </c>
      <c r="CM25" s="697">
        <f t="shared" ref="CM25:DG25" si="65">SUBTOTAL(9,CM26:CM28)</f>
        <v>0</v>
      </c>
      <c r="CN25" s="697">
        <f t="shared" si="65"/>
        <v>0</v>
      </c>
      <c r="CO25" s="697">
        <f t="shared" si="65"/>
        <v>0</v>
      </c>
      <c r="CP25" s="697">
        <f t="shared" si="65"/>
        <v>0</v>
      </c>
      <c r="CQ25" s="697">
        <f t="shared" si="65"/>
        <v>0</v>
      </c>
      <c r="CR25" s="697">
        <f t="shared" si="65"/>
        <v>0</v>
      </c>
      <c r="CS25" s="697">
        <f t="shared" si="65"/>
        <v>0</v>
      </c>
      <c r="CT25" s="697">
        <f t="shared" si="65"/>
        <v>0</v>
      </c>
      <c r="CU25" s="697">
        <f t="shared" si="65"/>
        <v>0</v>
      </c>
      <c r="CV25" s="697">
        <f t="shared" si="65"/>
        <v>0</v>
      </c>
      <c r="CW25" s="697">
        <f t="shared" si="65"/>
        <v>0</v>
      </c>
      <c r="CX25" s="697">
        <f t="shared" si="65"/>
        <v>0</v>
      </c>
      <c r="CY25" s="697">
        <f t="shared" si="65"/>
        <v>0</v>
      </c>
      <c r="CZ25" s="697">
        <f t="shared" si="65"/>
        <v>0</v>
      </c>
      <c r="DA25" s="697">
        <f t="shared" si="65"/>
        <v>0</v>
      </c>
      <c r="DB25" s="697">
        <f t="shared" si="65"/>
        <v>0</v>
      </c>
      <c r="DC25" s="697">
        <f t="shared" si="65"/>
        <v>0</v>
      </c>
      <c r="DD25" s="697">
        <f t="shared" si="65"/>
        <v>0</v>
      </c>
      <c r="DE25" s="697">
        <f t="shared" si="65"/>
        <v>0</v>
      </c>
      <c r="DF25" s="697">
        <f t="shared" si="65"/>
        <v>0</v>
      </c>
      <c r="DG25" s="697">
        <f t="shared" si="65"/>
        <v>0</v>
      </c>
      <c r="DH25" s="685"/>
      <c r="DK25" s="693"/>
      <c r="DL25" s="697">
        <f>SUBTOTAL(9,DL26:DL28)</f>
        <v>0</v>
      </c>
      <c r="DM25" s="697">
        <f t="shared" ref="DM25:EF25" si="66">SUBTOTAL(9,DM26:DM28)</f>
        <v>4.6350000000000002E-2</v>
      </c>
      <c r="DN25" s="697">
        <f t="shared" si="66"/>
        <v>9.2700000000000005E-2</v>
      </c>
      <c r="DO25" s="697">
        <f t="shared" si="66"/>
        <v>0.10645000000000002</v>
      </c>
      <c r="DP25" s="697">
        <f t="shared" si="66"/>
        <v>0.10645000000000002</v>
      </c>
      <c r="DQ25" s="697">
        <f t="shared" si="66"/>
        <v>0.10645000000000002</v>
      </c>
      <c r="DR25" s="697">
        <f t="shared" si="66"/>
        <v>0.10645000000000002</v>
      </c>
      <c r="DS25" s="697">
        <f t="shared" si="66"/>
        <v>0.11587500000000001</v>
      </c>
      <c r="DT25" s="697">
        <f t="shared" si="66"/>
        <v>0.12962499999999999</v>
      </c>
      <c r="DU25" s="697">
        <f t="shared" si="66"/>
        <v>0.15279999999999999</v>
      </c>
      <c r="DV25" s="697">
        <f t="shared" si="66"/>
        <v>0.18540000000000001</v>
      </c>
      <c r="DW25" s="697">
        <f t="shared" si="66"/>
        <v>0.18540000000000001</v>
      </c>
      <c r="DX25" s="697">
        <f t="shared" si="66"/>
        <v>0.18540000000000001</v>
      </c>
      <c r="DY25" s="697">
        <f t="shared" si="66"/>
        <v>0.18540000000000001</v>
      </c>
      <c r="DZ25" s="697">
        <f t="shared" si="66"/>
        <v>0.18540000000000001</v>
      </c>
      <c r="EA25" s="697">
        <f t="shared" si="66"/>
        <v>0.18540000000000001</v>
      </c>
      <c r="EB25" s="697">
        <f t="shared" si="66"/>
        <v>0.18540000000000001</v>
      </c>
      <c r="EC25" s="697">
        <f t="shared" si="66"/>
        <v>0.18540000000000001</v>
      </c>
      <c r="ED25" s="697">
        <f t="shared" si="66"/>
        <v>0.18540000000000001</v>
      </c>
      <c r="EE25" s="697">
        <f t="shared" si="66"/>
        <v>0.18540000000000001</v>
      </c>
      <c r="EF25" s="697">
        <f t="shared" si="66"/>
        <v>0.18540000000000001</v>
      </c>
      <c r="EG25" s="697">
        <f>SUBTOTAL(9,EG26:EG28)</f>
        <v>0.18540000000000001</v>
      </c>
      <c r="EH25" s="698"/>
    </row>
    <row r="26" spans="1:138" ht="14">
      <c r="A26" s="686" t="s">
        <v>221</v>
      </c>
      <c r="B26" s="668" t="s">
        <v>278</v>
      </c>
      <c r="C26" s="669" t="s">
        <v>210</v>
      </c>
      <c r="D26" s="668"/>
      <c r="E26" s="668"/>
      <c r="F26" s="673">
        <f>F27+F28</f>
        <v>9.2700000000000005E-2</v>
      </c>
      <c r="G26" s="668"/>
      <c r="H26" s="743">
        <v>46143</v>
      </c>
      <c r="I26" s="738"/>
      <c r="J26" s="742">
        <v>46117</v>
      </c>
      <c r="K26" s="742">
        <f>H26+((O26-H26)*0.5)</f>
        <v>46154</v>
      </c>
      <c r="L26" s="738"/>
      <c r="M26" s="743">
        <v>46124</v>
      </c>
      <c r="N26" s="738"/>
      <c r="O26" s="742">
        <f>H26+((W26-H26)*0.5)</f>
        <v>46165</v>
      </c>
      <c r="P26" s="668"/>
      <c r="Q26" s="743">
        <v>46127</v>
      </c>
      <c r="R26" s="742"/>
      <c r="S26" s="742">
        <f>O26+((W26-O26)*0.5)</f>
        <v>46176</v>
      </c>
      <c r="T26" s="742"/>
      <c r="U26" s="742">
        <v>46174</v>
      </c>
      <c r="V26" s="742"/>
      <c r="W26" s="742">
        <v>46187</v>
      </c>
      <c r="X26" s="742"/>
      <c r="Y26" s="742">
        <v>46184</v>
      </c>
      <c r="Z26" s="742"/>
      <c r="AA26" s="742"/>
      <c r="AB26" s="738"/>
      <c r="AC26" s="738"/>
      <c r="AD26" s="738"/>
      <c r="AE26" s="711">
        <f>AN26</f>
        <v>9.2700000000000005E-2</v>
      </c>
      <c r="AG26" s="717">
        <f>IF(AND($Y26&lt;&gt;0,$Y26&lt;=$BL$6),$Y$12,IF(AND($U26&lt;&gt;0,$U26&lt;=$BL$6),$U$12,IF(AND($Q26&lt;&gt;0,$Q26&lt;=$BL$6),$Q$12,IF(AND($M26&lt;&gt;0,$M26&lt;=$BL$6),$M$12,IF(AND($J26&lt;&gt;0,$J26&lt;=$BL$6),$J$12,0)))))</f>
        <v>1</v>
      </c>
      <c r="AH26" s="707">
        <f>AI26-AG26</f>
        <v>0</v>
      </c>
      <c r="AI26" s="708">
        <f>IF(AND($Y26&lt;&gt;0,$Y26&lt;=$BL$5),$Y$12,IF(AND($U26&lt;&gt;0,$U26&lt;=$BL$5),$U$12,IF(AND($Q26&lt;&gt;0,$Q26&lt;=$BL$5),$Q$12,IF(AND($M26&lt;&gt;0,$M26&lt;=$BL$5),$M$12,IF(AND($J26&lt;&gt;0,$J26&lt;=$BL$5),$J$12,0)))))</f>
        <v>1</v>
      </c>
      <c r="AJ26" s="718">
        <f t="shared" si="42"/>
        <v>1</v>
      </c>
      <c r="AK26" s="718">
        <f t="shared" si="37"/>
        <v>0</v>
      </c>
      <c r="AL26" s="719">
        <f>AI26-AJ26</f>
        <v>0</v>
      </c>
      <c r="AM26" s="720">
        <f>AI26-AK26</f>
        <v>1</v>
      </c>
      <c r="AN26" s="724">
        <f>AI26*F26</f>
        <v>9.2700000000000005E-2</v>
      </c>
      <c r="AO26" s="725">
        <f>AJ26*F26</f>
        <v>9.2700000000000005E-2</v>
      </c>
      <c r="AP26" s="725">
        <f>AK26*F26</f>
        <v>0</v>
      </c>
      <c r="AQ26" s="726">
        <f>AN26-AO26</f>
        <v>0</v>
      </c>
      <c r="AR26" s="681"/>
      <c r="AU26" s="680"/>
      <c r="AZ26" s="831">
        <v>9.2700000000000005E-2</v>
      </c>
      <c r="BA26" s="837"/>
      <c r="BD26" s="500" t="s">
        <v>221</v>
      </c>
      <c r="BE26" s="768">
        <f>AG26*F26</f>
        <v>9.2700000000000005E-2</v>
      </c>
      <c r="BF26" s="769">
        <f>AI26*F26</f>
        <v>9.2700000000000005E-2</v>
      </c>
      <c r="BG26" s="768">
        <f>IF(AND($W26&lt;&gt;0,$W26&lt;=$BL$6),$W$12,IF(AND($S26&lt;&gt;0,$S26&lt;=$BL$6),$S$12,IF(AND($O26&lt;&gt;0,$O26&lt;=$BL$6),$O$12,IF(AND($K26&lt;&gt;0,$K26&lt;=$BL$6),$K$12,IF(AND($H26&lt;&gt;0,$H26&lt;=$BL$6),$H$12,0)))))*$F26</f>
        <v>9.2700000000000005E-2</v>
      </c>
      <c r="BH26" s="763">
        <f>IF(AND($W26&lt;&gt;0,$W26&lt;=$BL$5),$W$12,IF(AND($S26&lt;&gt;0,$S26&lt;=$BL$5),$S$12,IF(AND($O26&lt;&gt;0,$O26&lt;=$BL$5),$O$12,IF(AND($K26&lt;&gt;0,$K26&lt;=$BL$5),$K$12,IF(AND($H26&lt;&gt;0,$H26&lt;=$BL$5),$H$12,0)))))*$F26</f>
        <v>9.2700000000000005E-2</v>
      </c>
      <c r="BI26" s="758">
        <f>IF(AND($X26&lt;&gt;0,$X26&lt;=$BL$6),$X$12,IF(AND($T26&lt;&gt;0,$T26&lt;=$BL$6),$T$12,IF(AND($P26&lt;&gt;0,$P26&lt;=$BL$6),$P$12,IF(AND($L26&lt;&gt;0,$L26&lt;=$BL$6),$L$12,IF(AND($I26&lt;&gt;0,$I26&lt;=$BL$6),$I$12,0)))))*$F26</f>
        <v>0</v>
      </c>
      <c r="BJ26" s="763">
        <f>IF(AND($X26&lt;&gt;0,$X26&lt;=$BL$5),$X$12,IF(AND($T26&lt;&gt;0,$T26&lt;=$BL$5),$T$12,IF(AND($P26&lt;&gt;0,$P26&lt;=$BL$5),$P$12,IF(AND($L26&lt;&gt;0,$L26&lt;=$BL$5),$L$12,IF(AND($I26&lt;&gt;0,$I26&lt;=$BL$5),$I$12,0)))))*$F26</f>
        <v>0</v>
      </c>
      <c r="BL26" s="681"/>
      <c r="BM26" s="695">
        <v>0</v>
      </c>
      <c r="BN26" s="695">
        <f>IF(AND($W26&lt;&gt;0,$W26&lt;=BN$12),$W$12*$F26,IF(AND($S26&lt;&gt;0,$S26&lt;=BN$12),$S$12*$F26,IF(AND($O26&lt;&gt;0,$O26&lt;=BN$12),$O$12*$F26,IF(AND($K26&lt;&gt;0,$K26&lt;=BN$12),$K$12*$F26,IF(AND($H26&lt;&gt;0,$H26&lt;=BN$12),$H$12*$F26,0)))))</f>
        <v>0</v>
      </c>
      <c r="BO26" s="695">
        <f t="shared" si="34"/>
        <v>0</v>
      </c>
      <c r="BP26" s="695">
        <f t="shared" si="34"/>
        <v>0</v>
      </c>
      <c r="BQ26" s="695">
        <f t="shared" si="34"/>
        <v>4.6350000000000002E-3</v>
      </c>
      <c r="BR26" s="695">
        <f t="shared" si="34"/>
        <v>4.6350000000000002E-3</v>
      </c>
      <c r="BS26" s="695">
        <f t="shared" si="34"/>
        <v>2.3175000000000001E-2</v>
      </c>
      <c r="BT26" s="695">
        <f t="shared" si="34"/>
        <v>4.6350000000000002E-2</v>
      </c>
      <c r="BU26" s="695">
        <f t="shared" si="34"/>
        <v>4.6350000000000002E-2</v>
      </c>
      <c r="BV26" s="695">
        <f t="shared" si="34"/>
        <v>6.9525000000000003E-2</v>
      </c>
      <c r="BW26" s="695">
        <f t="shared" si="34"/>
        <v>9.2700000000000005E-2</v>
      </c>
      <c r="BX26" s="695">
        <f t="shared" si="34"/>
        <v>9.2700000000000005E-2</v>
      </c>
      <c r="BY26" s="695">
        <f t="shared" si="34"/>
        <v>9.2700000000000005E-2</v>
      </c>
      <c r="BZ26" s="695">
        <f t="shared" si="34"/>
        <v>9.2700000000000005E-2</v>
      </c>
      <c r="CA26" s="695">
        <f t="shared" si="34"/>
        <v>9.2700000000000005E-2</v>
      </c>
      <c r="CB26" s="695">
        <f t="shared" si="34"/>
        <v>9.2700000000000005E-2</v>
      </c>
      <c r="CC26" s="695">
        <f t="shared" si="34"/>
        <v>9.2700000000000005E-2</v>
      </c>
      <c r="CD26" s="695">
        <f t="shared" si="34"/>
        <v>9.2700000000000005E-2</v>
      </c>
      <c r="CE26" s="695">
        <f t="shared" si="34"/>
        <v>9.2700000000000005E-2</v>
      </c>
      <c r="CF26" s="695">
        <f t="shared" si="34"/>
        <v>9.2700000000000005E-2</v>
      </c>
      <c r="CG26" s="695">
        <f t="shared" si="34"/>
        <v>9.2700000000000005E-2</v>
      </c>
      <c r="CH26" s="695">
        <f>IF(AND($W26&lt;&gt;0,$W26&lt;=CH$12),$W$12*$F26,IF(AND($S26&lt;&gt;0,$S26&lt;=CH$12),$S$12*$F26,IF(AND($O26&lt;&gt;0,$O26&lt;=CH$12),$O$12*$F26,IF(AND($K26&lt;&gt;0,$K26&lt;=CH$12),$K$12*$F26,IF(AND($H26&lt;&gt;0,$H26&lt;=CH$12),$H$12*$F26,0)))))</f>
        <v>9.2700000000000005E-2</v>
      </c>
      <c r="CI26" s="680"/>
      <c r="CK26" s="681"/>
      <c r="CL26" s="695">
        <v>0</v>
      </c>
      <c r="CM26" s="695">
        <f>IF(AND($X26&lt;&gt;0,$X26&lt;=CM$12),$X$12*$F26,IF(AND($T26&lt;&gt;0,$T26&lt;=CM$12),$T$12*$F26,IF(AND($P26&lt;&gt;0,$P26&lt;=CM$12),$P$12*$F26,IF(AND($L26&lt;&gt;0,$L26&lt;=CM$12),$L$12*$F26,IF(AND($I26&lt;&gt;0,$I26&lt;=CM$12),$I$12*$F26,0)))))</f>
        <v>0</v>
      </c>
      <c r="CN26" s="695">
        <f t="shared" si="35"/>
        <v>0</v>
      </c>
      <c r="CO26" s="695">
        <f t="shared" si="35"/>
        <v>0</v>
      </c>
      <c r="CP26" s="695">
        <f t="shared" si="35"/>
        <v>0</v>
      </c>
      <c r="CQ26" s="695">
        <f t="shared" si="35"/>
        <v>0</v>
      </c>
      <c r="CR26" s="695">
        <f t="shared" si="35"/>
        <v>0</v>
      </c>
      <c r="CS26" s="695">
        <f t="shared" si="35"/>
        <v>0</v>
      </c>
      <c r="CT26" s="695">
        <f t="shared" si="35"/>
        <v>0</v>
      </c>
      <c r="CU26" s="695">
        <f t="shared" si="35"/>
        <v>0</v>
      </c>
      <c r="CV26" s="695">
        <f t="shared" si="35"/>
        <v>0</v>
      </c>
      <c r="CW26" s="695">
        <f t="shared" si="35"/>
        <v>0</v>
      </c>
      <c r="CX26" s="695">
        <f t="shared" si="35"/>
        <v>0</v>
      </c>
      <c r="CY26" s="695">
        <f t="shared" si="35"/>
        <v>0</v>
      </c>
      <c r="CZ26" s="695">
        <f t="shared" si="35"/>
        <v>0</v>
      </c>
      <c r="DA26" s="695">
        <f t="shared" si="35"/>
        <v>0</v>
      </c>
      <c r="DB26" s="695">
        <f t="shared" si="35"/>
        <v>0</v>
      </c>
      <c r="DC26" s="695">
        <f t="shared" si="35"/>
        <v>0</v>
      </c>
      <c r="DD26" s="695">
        <f t="shared" si="35"/>
        <v>0</v>
      </c>
      <c r="DE26" s="695">
        <f t="shared" si="35"/>
        <v>0</v>
      </c>
      <c r="DF26" s="695">
        <f t="shared" si="35"/>
        <v>0</v>
      </c>
      <c r="DG26" s="695">
        <f t="shared" si="35"/>
        <v>0</v>
      </c>
      <c r="DH26" s="680"/>
      <c r="DK26" s="681"/>
      <c r="DL26" s="695">
        <v>0</v>
      </c>
      <c r="DM26" s="695">
        <f>IF(AND($Y26&lt;&gt;0,$Y26&lt;=DM$12),$Y$12*$F26,IF(AND($U26&lt;&gt;0,$U26&lt;=DM$12),$U$12*$F26,IF(AND($Q26&lt;&gt;0,$Q26&lt;=DM$12),$Q$12*$F26,IF(AND($M26&lt;&gt;0,$M26&lt;=DM$12),$M$12*$F26,IF(AND($J26&lt;&gt;0,$J26&lt;=DM$12),$J$12*$F26,0)))))</f>
        <v>2.3175000000000001E-2</v>
      </c>
      <c r="DN26" s="695">
        <f t="shared" ref="DN26:EG28" si="67">IF(AND($Y26&lt;&gt;0,$Y26&lt;=DN$12),$Y$12*$F26,IF(AND($U26&lt;&gt;0,$U26&lt;=DN$12),$U$12*$F26,IF(AND($Q26&lt;&gt;0,$Q26&lt;=DN$12),$Q$12*$F26,IF(AND($M26&lt;&gt;0,$M26&lt;=DN$12),$M$12*$F26,IF(AND($J26&lt;&gt;0,$J26&lt;=DN$12),$J$12*$F26,0)))))</f>
        <v>4.6350000000000002E-2</v>
      </c>
      <c r="DO26" s="695">
        <f t="shared" si="67"/>
        <v>4.6350000000000002E-2</v>
      </c>
      <c r="DP26" s="695">
        <f t="shared" si="67"/>
        <v>4.6350000000000002E-2</v>
      </c>
      <c r="DQ26" s="695">
        <f t="shared" si="67"/>
        <v>4.6350000000000002E-2</v>
      </c>
      <c r="DR26" s="695">
        <f t="shared" si="67"/>
        <v>4.6350000000000002E-2</v>
      </c>
      <c r="DS26" s="695">
        <f t="shared" si="67"/>
        <v>4.6350000000000002E-2</v>
      </c>
      <c r="DT26" s="695">
        <f t="shared" si="67"/>
        <v>4.6350000000000002E-2</v>
      </c>
      <c r="DU26" s="695">
        <f t="shared" si="67"/>
        <v>6.9525000000000003E-2</v>
      </c>
      <c r="DV26" s="695">
        <f t="shared" si="67"/>
        <v>9.2700000000000005E-2</v>
      </c>
      <c r="DW26" s="695">
        <f t="shared" si="67"/>
        <v>9.2700000000000005E-2</v>
      </c>
      <c r="DX26" s="695">
        <f t="shared" si="67"/>
        <v>9.2700000000000005E-2</v>
      </c>
      <c r="DY26" s="695">
        <f t="shared" si="67"/>
        <v>9.2700000000000005E-2</v>
      </c>
      <c r="DZ26" s="695">
        <f t="shared" si="67"/>
        <v>9.2700000000000005E-2</v>
      </c>
      <c r="EA26" s="695">
        <f t="shared" si="67"/>
        <v>9.2700000000000005E-2</v>
      </c>
      <c r="EB26" s="695">
        <f t="shared" si="67"/>
        <v>9.2700000000000005E-2</v>
      </c>
      <c r="EC26" s="695">
        <f t="shared" si="67"/>
        <v>9.2700000000000005E-2</v>
      </c>
      <c r="ED26" s="695">
        <f t="shared" si="67"/>
        <v>9.2700000000000005E-2</v>
      </c>
      <c r="EE26" s="695">
        <f t="shared" si="67"/>
        <v>9.2700000000000005E-2</v>
      </c>
      <c r="EF26" s="695">
        <f t="shared" si="67"/>
        <v>9.2700000000000005E-2</v>
      </c>
      <c r="EG26" s="695">
        <f t="shared" si="67"/>
        <v>9.2700000000000005E-2</v>
      </c>
      <c r="EH26" s="699"/>
    </row>
    <row r="27" spans="1:138" ht="14">
      <c r="A27" s="686" t="s">
        <v>222</v>
      </c>
      <c r="B27" s="668" t="s">
        <v>279</v>
      </c>
      <c r="C27" s="669" t="s">
        <v>211</v>
      </c>
      <c r="D27" s="668"/>
      <c r="E27" s="668"/>
      <c r="F27" s="673">
        <v>5.5E-2</v>
      </c>
      <c r="G27" s="668"/>
      <c r="H27" s="743">
        <v>46143</v>
      </c>
      <c r="I27" s="738"/>
      <c r="J27" s="742">
        <v>46117</v>
      </c>
      <c r="K27" s="742">
        <f>H27+((O27-H27)*0.5)</f>
        <v>46150.5</v>
      </c>
      <c r="L27" s="738"/>
      <c r="M27" s="743">
        <v>46124</v>
      </c>
      <c r="N27" s="738"/>
      <c r="O27" s="742">
        <f>H27+((W27-H27)*0.5)</f>
        <v>46158</v>
      </c>
      <c r="P27" s="668"/>
      <c r="Q27" s="743">
        <v>46127</v>
      </c>
      <c r="R27" s="742"/>
      <c r="S27" s="742">
        <f>O27+((W27-O27)*0.5)</f>
        <v>46165.5</v>
      </c>
      <c r="T27" s="742"/>
      <c r="U27" s="742">
        <v>46135</v>
      </c>
      <c r="V27" s="742"/>
      <c r="W27" s="742">
        <v>46173</v>
      </c>
      <c r="X27" s="742"/>
      <c r="Y27" s="742">
        <v>46173</v>
      </c>
      <c r="Z27" s="742"/>
      <c r="AA27" s="742"/>
      <c r="AB27" s="738"/>
      <c r="AC27" s="738"/>
      <c r="AD27" s="738"/>
      <c r="AE27" s="711">
        <f t="shared" ref="AE27" si="68">AN27</f>
        <v>5.5E-2</v>
      </c>
      <c r="AG27" s="717">
        <f t="shared" ref="AG27:AG28" si="69">IF(AND($Y27&lt;&gt;0,$Y27&lt;=$BL$6),$Y$12,IF(AND($U27&lt;&gt;0,$U27&lt;=$BL$6),$U$12,IF(AND($Q27&lt;&gt;0,$Q27&lt;=$BL$6),$Q$12,IF(AND($M27&lt;&gt;0,$M27&lt;=$BL$6),$M$12,IF(AND($J27&lt;&gt;0,$J27&lt;=$BL$6),$J$12,0)))))</f>
        <v>1</v>
      </c>
      <c r="AH27" s="707">
        <f t="shared" ref="AH27:AH28" si="70">AI27-AG27</f>
        <v>0</v>
      </c>
      <c r="AI27" s="708">
        <f t="shared" ref="AI27:AI28" si="71">IF(AND($Y27&lt;&gt;0,$Y27&lt;=$BL$5),$Y$12,IF(AND($U27&lt;&gt;0,$U27&lt;=$BL$5),$U$12,IF(AND($Q27&lt;&gt;0,$Q27&lt;=$BL$5),$Q$12,IF(AND($M27&lt;&gt;0,$M27&lt;=$BL$5),$M$12,IF(AND($J27&lt;&gt;0,$J27&lt;=$BL$5),$J$12,0)))))</f>
        <v>1</v>
      </c>
      <c r="AJ27" s="718">
        <f t="shared" si="42"/>
        <v>1</v>
      </c>
      <c r="AK27" s="718">
        <f t="shared" si="37"/>
        <v>0</v>
      </c>
      <c r="AL27" s="719">
        <f t="shared" ref="AL27:AL28" si="72">AI27-AJ27</f>
        <v>0</v>
      </c>
      <c r="AM27" s="720">
        <f t="shared" ref="AM27:AM28" si="73">AI27-AK27</f>
        <v>1</v>
      </c>
      <c r="AN27" s="724">
        <f t="shared" ref="AN27:AN28" si="74">AI27*F27</f>
        <v>5.5E-2</v>
      </c>
      <c r="AO27" s="725">
        <f t="shared" ref="AO27:AO28" si="75">AJ27*F27</f>
        <v>5.5E-2</v>
      </c>
      <c r="AP27" s="725">
        <f t="shared" ref="AP27:AP28" si="76">AK27*F27</f>
        <v>0</v>
      </c>
      <c r="AQ27" s="726">
        <f t="shared" ref="AQ27:AQ28" si="77">AN27-AO27</f>
        <v>0</v>
      </c>
      <c r="AR27" s="681"/>
      <c r="AU27" s="680"/>
      <c r="AZ27" s="831">
        <v>5.5E-2</v>
      </c>
      <c r="BA27" s="837"/>
      <c r="BD27" s="500" t="s">
        <v>222</v>
      </c>
      <c r="BE27" s="768">
        <f t="shared" ref="BE27:BE28" si="78">AG27*F27</f>
        <v>5.5E-2</v>
      </c>
      <c r="BF27" s="769">
        <f t="shared" ref="BF27:BF28" si="79">AI27*F27</f>
        <v>5.5E-2</v>
      </c>
      <c r="BG27" s="768">
        <f>IF(AND($W27&lt;&gt;0,$W27&lt;=$BL$6),$W$12,IF(AND($S27&lt;&gt;0,$S27&lt;=$BL$6),$S$12,IF(AND($O27&lt;&gt;0,$O27&lt;=$BL$6),$O$12,IF(AND($K27&lt;&gt;0,$K27&lt;=$BL$6),$K$12,IF(AND($H27&lt;&gt;0,$H27&lt;=$BL$6),$H$12,0)))))*$F27</f>
        <v>5.5E-2</v>
      </c>
      <c r="BH27" s="763">
        <f>IF(AND($W27&lt;&gt;0,$W27&lt;=$BL$5),$W$12,IF(AND($S27&lt;&gt;0,$S27&lt;=$BL$5),$S$12,IF(AND($O27&lt;&gt;0,$O27&lt;=$BL$5),$O$12,IF(AND($K27&lt;&gt;0,$K27&lt;=$BL$5),$K$12,IF(AND($H27&lt;&gt;0,$H27&lt;=$BL$5),$H$12,0)))))*$F27</f>
        <v>5.5E-2</v>
      </c>
      <c r="BI27" s="758">
        <f>IF(AND($X27&lt;&gt;0,$X27&lt;=$BL$6),$X$12,IF(AND($T27&lt;&gt;0,$T27&lt;=$BL$6),$T$12,IF(AND($P27&lt;&gt;0,$P27&lt;=$BL$6),$P$12,IF(AND($L27&lt;&gt;0,$L27&lt;=$BL$6),$L$12,IF(AND($I27&lt;&gt;0,$I27&lt;=$BL$6),$I$12,0)))))*$F27</f>
        <v>0</v>
      </c>
      <c r="BJ27" s="763">
        <f>IF(AND($X27&lt;&gt;0,$X27&lt;=$BL$5),$X$12,IF(AND($T27&lt;&gt;0,$T27&lt;=$BL$5),$T$12,IF(AND($P27&lt;&gt;0,$P27&lt;=$BL$5),$P$12,IF(AND($L27&lt;&gt;0,$L27&lt;=$BL$5),$L$12,IF(AND($I27&lt;&gt;0,$I27&lt;=$BL$5),$I$12,0)))))*$F27</f>
        <v>0</v>
      </c>
      <c r="BL27" s="681"/>
      <c r="BM27" s="695">
        <v>0</v>
      </c>
      <c r="BN27" s="695">
        <f>IF(AND($W27&lt;&gt;0,$W27&lt;=BN$12),$W$12*$F27,IF(AND($S27&lt;&gt;0,$S27&lt;=BN$12),$S$12*$F27,IF(AND($O27&lt;&gt;0,$O27&lt;=BN$12),$O$12*$F27,IF(AND($K27&lt;&gt;0,$K27&lt;=BN$12),$K$12*$F27,IF(AND($H27&lt;&gt;0,$H27&lt;=BN$12),$H$12*$F27,0)))))</f>
        <v>0</v>
      </c>
      <c r="BO27" s="695">
        <f t="shared" si="34"/>
        <v>0</v>
      </c>
      <c r="BP27" s="695">
        <f t="shared" si="34"/>
        <v>0</v>
      </c>
      <c r="BQ27" s="695">
        <f t="shared" si="34"/>
        <v>2.7500000000000003E-3</v>
      </c>
      <c r="BR27" s="695">
        <f t="shared" si="34"/>
        <v>1.375E-2</v>
      </c>
      <c r="BS27" s="695">
        <f t="shared" si="34"/>
        <v>2.75E-2</v>
      </c>
      <c r="BT27" s="695">
        <f t="shared" si="34"/>
        <v>4.1250000000000002E-2</v>
      </c>
      <c r="BU27" s="695">
        <f t="shared" si="34"/>
        <v>5.5E-2</v>
      </c>
      <c r="BV27" s="695">
        <f t="shared" si="34"/>
        <v>5.5E-2</v>
      </c>
      <c r="BW27" s="695">
        <f t="shared" si="34"/>
        <v>5.5E-2</v>
      </c>
      <c r="BX27" s="695">
        <f t="shared" si="34"/>
        <v>5.5E-2</v>
      </c>
      <c r="BY27" s="695">
        <f t="shared" si="34"/>
        <v>5.5E-2</v>
      </c>
      <c r="BZ27" s="695">
        <f t="shared" si="34"/>
        <v>5.5E-2</v>
      </c>
      <c r="CA27" s="695">
        <f t="shared" si="34"/>
        <v>5.5E-2</v>
      </c>
      <c r="CB27" s="695">
        <f t="shared" si="34"/>
        <v>5.5E-2</v>
      </c>
      <c r="CC27" s="695">
        <f t="shared" si="34"/>
        <v>5.5E-2</v>
      </c>
      <c r="CD27" s="695">
        <f t="shared" si="34"/>
        <v>5.5E-2</v>
      </c>
      <c r="CE27" s="695">
        <f t="shared" si="34"/>
        <v>5.5E-2</v>
      </c>
      <c r="CF27" s="695">
        <f t="shared" si="34"/>
        <v>5.5E-2</v>
      </c>
      <c r="CG27" s="695">
        <f t="shared" si="34"/>
        <v>5.5E-2</v>
      </c>
      <c r="CH27" s="695">
        <f>IF(AND($W27&lt;&gt;0,$W27&lt;=CH$12),$W$12*$F27,IF(AND($S27&lt;&gt;0,$S27&lt;=CH$12),$S$12*$F27,IF(AND($O27&lt;&gt;0,$O27&lt;=CH$12),$O$12*$F27,IF(AND($K27&lt;&gt;0,$K27&lt;=CH$12),$K$12*$F27,IF(AND($H27&lt;&gt;0,$H27&lt;=CH$12),$H$12*$F27,0)))))</f>
        <v>5.5E-2</v>
      </c>
      <c r="CI27" s="680"/>
      <c r="CK27" s="681"/>
      <c r="CL27" s="695">
        <v>0</v>
      </c>
      <c r="CM27" s="695">
        <f>IF(AND($X27&lt;&gt;0,$X27&lt;=CM$12),$X$12*$F27,IF(AND($T27&lt;&gt;0,$T27&lt;=CM$12),$T$12*$F27,IF(AND($P27&lt;&gt;0,$P27&lt;=CM$12),$P$12*$F27,IF(AND($L27&lt;&gt;0,$L27&lt;=CM$12),$L$12*$F27,IF(AND($I27&lt;&gt;0,$I27&lt;=CM$12),$I$12*$F27,0)))))</f>
        <v>0</v>
      </c>
      <c r="CN27" s="695">
        <f t="shared" si="35"/>
        <v>0</v>
      </c>
      <c r="CO27" s="695">
        <f t="shared" si="35"/>
        <v>0</v>
      </c>
      <c r="CP27" s="695">
        <f t="shared" si="35"/>
        <v>0</v>
      </c>
      <c r="CQ27" s="695">
        <f t="shared" si="35"/>
        <v>0</v>
      </c>
      <c r="CR27" s="695">
        <f t="shared" si="35"/>
        <v>0</v>
      </c>
      <c r="CS27" s="695">
        <f t="shared" si="35"/>
        <v>0</v>
      </c>
      <c r="CT27" s="695">
        <f t="shared" si="35"/>
        <v>0</v>
      </c>
      <c r="CU27" s="695">
        <f t="shared" si="35"/>
        <v>0</v>
      </c>
      <c r="CV27" s="695">
        <f t="shared" si="35"/>
        <v>0</v>
      </c>
      <c r="CW27" s="695">
        <f t="shared" si="35"/>
        <v>0</v>
      </c>
      <c r="CX27" s="695">
        <f t="shared" si="35"/>
        <v>0</v>
      </c>
      <c r="CY27" s="695">
        <f t="shared" si="35"/>
        <v>0</v>
      </c>
      <c r="CZ27" s="695">
        <f t="shared" si="35"/>
        <v>0</v>
      </c>
      <c r="DA27" s="695">
        <f t="shared" si="35"/>
        <v>0</v>
      </c>
      <c r="DB27" s="695">
        <f t="shared" si="35"/>
        <v>0</v>
      </c>
      <c r="DC27" s="695">
        <f t="shared" si="35"/>
        <v>0</v>
      </c>
      <c r="DD27" s="695">
        <f t="shared" si="35"/>
        <v>0</v>
      </c>
      <c r="DE27" s="695">
        <f t="shared" si="35"/>
        <v>0</v>
      </c>
      <c r="DF27" s="695">
        <f t="shared" si="35"/>
        <v>0</v>
      </c>
      <c r="DG27" s="695">
        <f t="shared" si="35"/>
        <v>0</v>
      </c>
      <c r="DH27" s="680"/>
      <c r="DK27" s="681"/>
      <c r="DL27" s="695">
        <v>0</v>
      </c>
      <c r="DM27" s="695">
        <f t="shared" ref="DM27:DM28" si="80">IF(AND($Y27&lt;&gt;0,$Y27&lt;=DM$12),$Y$12*$F27,IF(AND($U27&lt;&gt;0,$U27&lt;=DM$12),$U$12*$F27,IF(AND($Q27&lt;&gt;0,$Q27&lt;=DM$12),$Q$12*$F27,IF(AND($M27&lt;&gt;0,$M27&lt;=DM$12),$M$12*$F27,IF(AND($J27&lt;&gt;0,$J27&lt;=DM$12),$J$12*$F27,0)))))</f>
        <v>1.375E-2</v>
      </c>
      <c r="DN27" s="695">
        <f t="shared" si="67"/>
        <v>2.75E-2</v>
      </c>
      <c r="DO27" s="695">
        <f t="shared" si="67"/>
        <v>4.1250000000000002E-2</v>
      </c>
      <c r="DP27" s="695">
        <f t="shared" si="67"/>
        <v>4.1250000000000002E-2</v>
      </c>
      <c r="DQ27" s="695">
        <f t="shared" si="67"/>
        <v>4.1250000000000002E-2</v>
      </c>
      <c r="DR27" s="695">
        <f t="shared" si="67"/>
        <v>4.1250000000000002E-2</v>
      </c>
      <c r="DS27" s="695">
        <f t="shared" si="67"/>
        <v>4.1250000000000002E-2</v>
      </c>
      <c r="DT27" s="695">
        <f t="shared" si="67"/>
        <v>5.5E-2</v>
      </c>
      <c r="DU27" s="695">
        <f t="shared" si="67"/>
        <v>5.5E-2</v>
      </c>
      <c r="DV27" s="695">
        <f t="shared" si="67"/>
        <v>5.5E-2</v>
      </c>
      <c r="DW27" s="695">
        <f t="shared" si="67"/>
        <v>5.5E-2</v>
      </c>
      <c r="DX27" s="695">
        <f t="shared" si="67"/>
        <v>5.5E-2</v>
      </c>
      <c r="DY27" s="695">
        <f t="shared" si="67"/>
        <v>5.5E-2</v>
      </c>
      <c r="DZ27" s="695">
        <f t="shared" si="67"/>
        <v>5.5E-2</v>
      </c>
      <c r="EA27" s="695">
        <f t="shared" si="67"/>
        <v>5.5E-2</v>
      </c>
      <c r="EB27" s="695">
        <f t="shared" si="67"/>
        <v>5.5E-2</v>
      </c>
      <c r="EC27" s="695">
        <f t="shared" si="67"/>
        <v>5.5E-2</v>
      </c>
      <c r="ED27" s="695">
        <f t="shared" si="67"/>
        <v>5.5E-2</v>
      </c>
      <c r="EE27" s="695">
        <f t="shared" si="67"/>
        <v>5.5E-2</v>
      </c>
      <c r="EF27" s="695">
        <f t="shared" si="67"/>
        <v>5.5E-2</v>
      </c>
      <c r="EG27" s="695">
        <f t="shared" si="67"/>
        <v>5.5E-2</v>
      </c>
      <c r="EH27" s="699"/>
    </row>
    <row r="28" spans="1:138" ht="14">
      <c r="A28" s="686" t="s">
        <v>223</v>
      </c>
      <c r="B28" s="668" t="s">
        <v>280</v>
      </c>
      <c r="C28" s="669" t="s">
        <v>212</v>
      </c>
      <c r="D28" s="668"/>
      <c r="E28" s="668"/>
      <c r="F28" s="673">
        <v>3.7699999999999997E-2</v>
      </c>
      <c r="G28" s="668"/>
      <c r="H28" s="743">
        <v>46174</v>
      </c>
      <c r="I28" s="738"/>
      <c r="J28" s="742">
        <v>46117</v>
      </c>
      <c r="K28" s="742">
        <f>H28+((O28-H28)*0.5)</f>
        <v>46177.25</v>
      </c>
      <c r="L28" s="738"/>
      <c r="M28" s="743">
        <v>46124</v>
      </c>
      <c r="N28" s="738"/>
      <c r="O28" s="742">
        <f>H28+((W28-H28)*0.5)</f>
        <v>46180.5</v>
      </c>
      <c r="P28" s="668"/>
      <c r="Q28" s="743">
        <v>46127</v>
      </c>
      <c r="R28" s="742"/>
      <c r="S28" s="742">
        <f>O28+((W28-O28)*0.5)</f>
        <v>46183.75</v>
      </c>
      <c r="T28" s="742"/>
      <c r="U28" s="742">
        <v>46161</v>
      </c>
      <c r="V28" s="742"/>
      <c r="W28" s="742">
        <v>46187</v>
      </c>
      <c r="X28" s="742"/>
      <c r="Y28" s="742">
        <v>46184</v>
      </c>
      <c r="Z28" s="742"/>
      <c r="AA28" s="742"/>
      <c r="AB28" s="738"/>
      <c r="AC28" s="738"/>
      <c r="AD28" s="738"/>
      <c r="AE28" s="711">
        <f>AN28</f>
        <v>3.7699999999999997E-2</v>
      </c>
      <c r="AG28" s="717">
        <f t="shared" si="69"/>
        <v>1</v>
      </c>
      <c r="AH28" s="707">
        <f t="shared" si="70"/>
        <v>0</v>
      </c>
      <c r="AI28" s="708">
        <f t="shared" si="71"/>
        <v>1</v>
      </c>
      <c r="AJ28" s="718">
        <f t="shared" si="42"/>
        <v>1</v>
      </c>
      <c r="AK28" s="718">
        <f t="shared" si="37"/>
        <v>0</v>
      </c>
      <c r="AL28" s="719">
        <f t="shared" si="72"/>
        <v>0</v>
      </c>
      <c r="AM28" s="720">
        <f t="shared" si="73"/>
        <v>1</v>
      </c>
      <c r="AN28" s="724">
        <f t="shared" si="74"/>
        <v>3.7699999999999997E-2</v>
      </c>
      <c r="AO28" s="725">
        <f t="shared" si="75"/>
        <v>3.7699999999999997E-2</v>
      </c>
      <c r="AP28" s="725">
        <f t="shared" si="76"/>
        <v>0</v>
      </c>
      <c r="AQ28" s="726">
        <f t="shared" si="77"/>
        <v>0</v>
      </c>
      <c r="AR28" s="681"/>
      <c r="AU28" s="680"/>
      <c r="AZ28" s="831">
        <v>3.7699999999999997E-2</v>
      </c>
      <c r="BA28" s="837"/>
      <c r="BD28" s="500" t="s">
        <v>223</v>
      </c>
      <c r="BE28" s="768">
        <f t="shared" si="78"/>
        <v>3.7699999999999997E-2</v>
      </c>
      <c r="BF28" s="769">
        <f t="shared" si="79"/>
        <v>3.7699999999999997E-2</v>
      </c>
      <c r="BG28" s="768">
        <f>IF(AND($W28&lt;&gt;0,$W28&lt;=$BL$6),$W$12,IF(AND($S28&lt;&gt;0,$S28&lt;=$BL$6),$S$12,IF(AND($O28&lt;&gt;0,$O28&lt;=$BL$6),$O$12,IF(AND($K28&lt;&gt;0,$K28&lt;=$BL$6),$K$12,IF(AND($H28&lt;&gt;0,$H28&lt;=$BL$6),$H$12,0)))))*$F28</f>
        <v>3.7699999999999997E-2</v>
      </c>
      <c r="BH28" s="763">
        <f>IF(AND($W28&lt;&gt;0,$W28&lt;=$BL$5),$W$12,IF(AND($S28&lt;&gt;0,$S28&lt;=$BL$5),$S$12,IF(AND($O28&lt;&gt;0,$O28&lt;=$BL$5),$O$12,IF(AND($K28&lt;&gt;0,$K28&lt;=$BL$5),$K$12,IF(AND($H28&lt;&gt;0,$H28&lt;=$BL$5),$H$12,0)))))*$F28</f>
        <v>3.7699999999999997E-2</v>
      </c>
      <c r="BI28" s="758">
        <f>IF(AND($X28&lt;&gt;0,$X28&lt;=$BL$6),$X$12,IF(AND($T28&lt;&gt;0,$T28&lt;=$BL$6),$T$12,IF(AND($P28&lt;&gt;0,$P28&lt;=$BL$6),$P$12,IF(AND($L28&lt;&gt;0,$L28&lt;=$BL$6),$L$12,IF(AND($I28&lt;&gt;0,$I28&lt;=$BL$6),$I$12,0)))))*$F28</f>
        <v>0</v>
      </c>
      <c r="BJ28" s="763">
        <f>IF(AND($X28&lt;&gt;0,$X28&lt;=$BL$5),$X$12,IF(AND($T28&lt;&gt;0,$T28&lt;=$BL$5),$T$12,IF(AND($P28&lt;&gt;0,$P28&lt;=$BL$5),$P$12,IF(AND($L28&lt;&gt;0,$L28&lt;=$BL$5),$L$12,IF(AND($I28&lt;&gt;0,$I28&lt;=$BL$5),$I$12,0)))))*$F28</f>
        <v>0</v>
      </c>
      <c r="BL28" s="681"/>
      <c r="BM28" s="695">
        <v>0</v>
      </c>
      <c r="BN28" s="695">
        <f>IF(AND($W28&lt;&gt;0,$W28&lt;=BN$12),$W$12*$F28,IF(AND($S28&lt;&gt;0,$S28&lt;=BN$12),$S$12*$F28,IF(AND($O28&lt;&gt;0,$O28&lt;=BN$12),$O$12*$F28,IF(AND($K28&lt;&gt;0,$K28&lt;=BN$12),$K$12*$F28,IF(AND($H28&lt;&gt;0,$H28&lt;=BN$12),$H$12*$F28,0)))))</f>
        <v>0</v>
      </c>
      <c r="BO28" s="695">
        <f t="shared" si="34"/>
        <v>0</v>
      </c>
      <c r="BP28" s="695">
        <f t="shared" si="34"/>
        <v>0</v>
      </c>
      <c r="BQ28" s="695">
        <f t="shared" si="34"/>
        <v>0</v>
      </c>
      <c r="BR28" s="695">
        <f t="shared" si="34"/>
        <v>0</v>
      </c>
      <c r="BS28" s="695">
        <f t="shared" si="34"/>
        <v>0</v>
      </c>
      <c r="BT28" s="695">
        <f t="shared" si="34"/>
        <v>0</v>
      </c>
      <c r="BU28" s="695">
        <f t="shared" si="34"/>
        <v>0</v>
      </c>
      <c r="BV28" s="695">
        <f t="shared" si="34"/>
        <v>9.4249999999999994E-3</v>
      </c>
      <c r="BW28" s="695">
        <f t="shared" si="34"/>
        <v>3.7699999999999997E-2</v>
      </c>
      <c r="BX28" s="695">
        <f t="shared" si="34"/>
        <v>3.7699999999999997E-2</v>
      </c>
      <c r="BY28" s="695">
        <f t="shared" si="34"/>
        <v>3.7699999999999997E-2</v>
      </c>
      <c r="BZ28" s="695">
        <f t="shared" si="34"/>
        <v>3.7699999999999997E-2</v>
      </c>
      <c r="CA28" s="695">
        <f t="shared" si="34"/>
        <v>3.7699999999999997E-2</v>
      </c>
      <c r="CB28" s="695">
        <f t="shared" si="34"/>
        <v>3.7699999999999997E-2</v>
      </c>
      <c r="CC28" s="695">
        <f t="shared" si="34"/>
        <v>3.7699999999999997E-2</v>
      </c>
      <c r="CD28" s="695">
        <f t="shared" si="34"/>
        <v>3.7699999999999997E-2</v>
      </c>
      <c r="CE28" s="695">
        <f t="shared" si="34"/>
        <v>3.7699999999999997E-2</v>
      </c>
      <c r="CF28" s="695">
        <f t="shared" si="34"/>
        <v>3.7699999999999997E-2</v>
      </c>
      <c r="CG28" s="695">
        <f t="shared" si="34"/>
        <v>3.7699999999999997E-2</v>
      </c>
      <c r="CH28" s="695">
        <f>IF(AND($W28&lt;&gt;0,$W28&lt;=CH$12),$W$12*$F28,IF(AND($S28&lt;&gt;0,$S28&lt;=CH$12),$S$12*$F28,IF(AND($O28&lt;&gt;0,$O28&lt;=CH$12),$O$12*$F28,IF(AND($K28&lt;&gt;0,$K28&lt;=CH$12),$K$12*$F28,IF(AND($H28&lt;&gt;0,$H28&lt;=CH$12),$H$12*$F28,0)))))</f>
        <v>3.7699999999999997E-2</v>
      </c>
      <c r="CI28" s="680"/>
      <c r="CK28" s="681"/>
      <c r="CL28" s="695">
        <v>0</v>
      </c>
      <c r="CM28" s="695">
        <f>IF(AND($X28&lt;&gt;0,$X28&lt;=CM$12),$X$12*$F28,IF(AND($T28&lt;&gt;0,$T28&lt;=CM$12),$T$12*$F28,IF(AND($P28&lt;&gt;0,$P28&lt;=CM$12),$P$12*$F28,IF(AND($L28&lt;&gt;0,$L28&lt;=CM$12),$L$12*$F28,IF(AND($I28&lt;&gt;0,$I28&lt;=CM$12),$I$12*$F28,0)))))</f>
        <v>0</v>
      </c>
      <c r="CN28" s="695">
        <f t="shared" si="35"/>
        <v>0</v>
      </c>
      <c r="CO28" s="695">
        <f t="shared" si="35"/>
        <v>0</v>
      </c>
      <c r="CP28" s="695">
        <f t="shared" si="35"/>
        <v>0</v>
      </c>
      <c r="CQ28" s="695">
        <f t="shared" si="35"/>
        <v>0</v>
      </c>
      <c r="CR28" s="695">
        <f t="shared" si="35"/>
        <v>0</v>
      </c>
      <c r="CS28" s="695">
        <f t="shared" si="35"/>
        <v>0</v>
      </c>
      <c r="CT28" s="695">
        <f t="shared" si="35"/>
        <v>0</v>
      </c>
      <c r="CU28" s="695">
        <f t="shared" si="35"/>
        <v>0</v>
      </c>
      <c r="CV28" s="695">
        <f t="shared" si="35"/>
        <v>0</v>
      </c>
      <c r="CW28" s="695">
        <f t="shared" si="35"/>
        <v>0</v>
      </c>
      <c r="CX28" s="695">
        <f t="shared" si="35"/>
        <v>0</v>
      </c>
      <c r="CY28" s="695">
        <f t="shared" si="35"/>
        <v>0</v>
      </c>
      <c r="CZ28" s="695">
        <f t="shared" si="35"/>
        <v>0</v>
      </c>
      <c r="DA28" s="695">
        <f t="shared" si="35"/>
        <v>0</v>
      </c>
      <c r="DB28" s="695">
        <f t="shared" si="35"/>
        <v>0</v>
      </c>
      <c r="DC28" s="695">
        <f t="shared" si="35"/>
        <v>0</v>
      </c>
      <c r="DD28" s="695">
        <f t="shared" si="35"/>
        <v>0</v>
      </c>
      <c r="DE28" s="695">
        <f t="shared" si="35"/>
        <v>0</v>
      </c>
      <c r="DF28" s="695">
        <f t="shared" si="35"/>
        <v>0</v>
      </c>
      <c r="DG28" s="695">
        <f t="shared" si="35"/>
        <v>0</v>
      </c>
      <c r="DH28" s="680"/>
      <c r="DK28" s="681"/>
      <c r="DL28" s="695">
        <v>0</v>
      </c>
      <c r="DM28" s="695">
        <f t="shared" si="80"/>
        <v>9.4249999999999994E-3</v>
      </c>
      <c r="DN28" s="695">
        <f t="shared" si="67"/>
        <v>1.8849999999999999E-2</v>
      </c>
      <c r="DO28" s="695">
        <f t="shared" si="67"/>
        <v>1.8849999999999999E-2</v>
      </c>
      <c r="DP28" s="695">
        <f t="shared" si="67"/>
        <v>1.8849999999999999E-2</v>
      </c>
      <c r="DQ28" s="695">
        <f t="shared" si="67"/>
        <v>1.8849999999999999E-2</v>
      </c>
      <c r="DR28" s="695">
        <f t="shared" si="67"/>
        <v>1.8849999999999999E-2</v>
      </c>
      <c r="DS28" s="695">
        <f t="shared" si="67"/>
        <v>2.8274999999999998E-2</v>
      </c>
      <c r="DT28" s="695">
        <f t="shared" si="67"/>
        <v>2.8274999999999998E-2</v>
      </c>
      <c r="DU28" s="695">
        <f t="shared" si="67"/>
        <v>2.8274999999999998E-2</v>
      </c>
      <c r="DV28" s="695">
        <f t="shared" si="67"/>
        <v>3.7699999999999997E-2</v>
      </c>
      <c r="DW28" s="695">
        <f t="shared" si="67"/>
        <v>3.7699999999999997E-2</v>
      </c>
      <c r="DX28" s="695">
        <f t="shared" si="67"/>
        <v>3.7699999999999997E-2</v>
      </c>
      <c r="DY28" s="695">
        <f t="shared" si="67"/>
        <v>3.7699999999999997E-2</v>
      </c>
      <c r="DZ28" s="695">
        <f t="shared" si="67"/>
        <v>3.7699999999999997E-2</v>
      </c>
      <c r="EA28" s="695">
        <f t="shared" si="67"/>
        <v>3.7699999999999997E-2</v>
      </c>
      <c r="EB28" s="695">
        <f t="shared" si="67"/>
        <v>3.7699999999999997E-2</v>
      </c>
      <c r="EC28" s="695">
        <f t="shared" si="67"/>
        <v>3.7699999999999997E-2</v>
      </c>
      <c r="ED28" s="695">
        <f t="shared" si="67"/>
        <v>3.7699999999999997E-2</v>
      </c>
      <c r="EE28" s="695">
        <f t="shared" si="67"/>
        <v>3.7699999999999997E-2</v>
      </c>
      <c r="EF28" s="695">
        <f t="shared" si="67"/>
        <v>3.7699999999999997E-2</v>
      </c>
      <c r="EG28" s="695">
        <f t="shared" si="67"/>
        <v>3.7699999999999997E-2</v>
      </c>
      <c r="EH28" s="699"/>
    </row>
    <row r="29" spans="1:138" s="643" customFormat="1" ht="14">
      <c r="A29" s="684">
        <v>5</v>
      </c>
      <c r="B29" s="664"/>
      <c r="C29" s="665" t="s">
        <v>213</v>
      </c>
      <c r="D29" s="665"/>
      <c r="E29" s="666"/>
      <c r="F29" s="667">
        <f>SUBTOTAL(9,F30:F31)</f>
        <v>0.18540000000000001</v>
      </c>
      <c r="G29" s="666"/>
      <c r="H29" s="744"/>
      <c r="I29" s="739"/>
      <c r="J29" s="741"/>
      <c r="K29" s="741"/>
      <c r="L29" s="739"/>
      <c r="M29" s="744"/>
      <c r="N29" s="739"/>
      <c r="O29" s="741"/>
      <c r="P29" s="666"/>
      <c r="Q29" s="741"/>
      <c r="R29" s="741"/>
      <c r="S29" s="741"/>
      <c r="T29" s="741"/>
      <c r="U29" s="741"/>
      <c r="V29" s="741"/>
      <c r="W29" s="741"/>
      <c r="X29" s="741"/>
      <c r="Y29" s="741"/>
      <c r="Z29" s="741"/>
      <c r="AA29" s="741"/>
      <c r="AB29" s="739"/>
      <c r="AC29" s="739"/>
      <c r="AD29" s="739"/>
      <c r="AE29" s="710"/>
      <c r="AG29" s="721"/>
      <c r="AH29" s="709"/>
      <c r="AI29" s="709"/>
      <c r="AJ29" s="718"/>
      <c r="AK29" s="718"/>
      <c r="AM29" s="685"/>
      <c r="AN29" s="693"/>
      <c r="AQ29" s="685"/>
      <c r="AR29" s="693"/>
      <c r="AU29" s="685"/>
      <c r="AZ29" s="830">
        <v>0.1545</v>
      </c>
      <c r="BA29" s="836"/>
      <c r="BD29" s="761">
        <v>5</v>
      </c>
      <c r="BE29" s="767">
        <f>SUBTOTAL(9,BE30:BE31)</f>
        <v>0.18540000000000001</v>
      </c>
      <c r="BF29" s="762">
        <f>SUBTOTAL(9,BF30:BF31)</f>
        <v>0.18540000000000001</v>
      </c>
      <c r="BG29" s="767">
        <f t="shared" ref="BG29:BJ29" si="81">SUBTOTAL(9,BG30:BG31)</f>
        <v>0.1545</v>
      </c>
      <c r="BH29" s="762">
        <f t="shared" si="81"/>
        <v>0.18540000000000001</v>
      </c>
      <c r="BI29" s="757">
        <f t="shared" si="81"/>
        <v>3.09E-2</v>
      </c>
      <c r="BJ29" s="762">
        <f t="shared" si="81"/>
        <v>3.09E-2</v>
      </c>
      <c r="BL29" s="693"/>
      <c r="BM29" s="697">
        <f>SUBTOTAL(9,BM30:BM31)</f>
        <v>0</v>
      </c>
      <c r="BN29" s="697">
        <f t="shared" ref="BN29:CH29" si="82">SUBTOTAL(9,BN30:BN31)</f>
        <v>6.1800000000000006E-3</v>
      </c>
      <c r="BO29" s="697">
        <f t="shared" si="82"/>
        <v>9.2700000000000005E-3</v>
      </c>
      <c r="BP29" s="697">
        <f t="shared" si="82"/>
        <v>4.6350000000000002E-2</v>
      </c>
      <c r="BQ29" s="697">
        <f t="shared" si="82"/>
        <v>6.1800000000000001E-2</v>
      </c>
      <c r="BR29" s="697">
        <f t="shared" si="82"/>
        <v>7.7249999999999999E-2</v>
      </c>
      <c r="BS29" s="697">
        <f t="shared" si="82"/>
        <v>0.1236</v>
      </c>
      <c r="BT29" s="697">
        <f t="shared" si="82"/>
        <v>0.1236</v>
      </c>
      <c r="BU29" s="697">
        <f t="shared" si="82"/>
        <v>0.1236</v>
      </c>
      <c r="BV29" s="697">
        <f t="shared" si="82"/>
        <v>0.1236</v>
      </c>
      <c r="BW29" s="697">
        <f t="shared" si="82"/>
        <v>0.1545</v>
      </c>
      <c r="BX29" s="697">
        <f t="shared" si="82"/>
        <v>0.1545</v>
      </c>
      <c r="BY29" s="697">
        <f t="shared" si="82"/>
        <v>0.1545</v>
      </c>
      <c r="BZ29" s="697">
        <f t="shared" si="82"/>
        <v>0.18540000000000001</v>
      </c>
      <c r="CA29" s="697">
        <f t="shared" si="82"/>
        <v>0.18540000000000001</v>
      </c>
      <c r="CB29" s="697">
        <f t="shared" si="82"/>
        <v>0.18540000000000001</v>
      </c>
      <c r="CC29" s="697">
        <f t="shared" si="82"/>
        <v>0.18540000000000001</v>
      </c>
      <c r="CD29" s="697">
        <f t="shared" si="82"/>
        <v>0.18540000000000001</v>
      </c>
      <c r="CE29" s="697">
        <f t="shared" si="82"/>
        <v>0.18540000000000001</v>
      </c>
      <c r="CF29" s="697">
        <f t="shared" si="82"/>
        <v>0.18540000000000001</v>
      </c>
      <c r="CG29" s="697">
        <f t="shared" si="82"/>
        <v>0.18540000000000001</v>
      </c>
      <c r="CH29" s="697">
        <f t="shared" si="82"/>
        <v>0.18540000000000001</v>
      </c>
      <c r="CI29" s="685"/>
      <c r="CK29" s="693"/>
      <c r="CL29" s="697">
        <f>SUBTOTAL(9,CL30:CL31)</f>
        <v>0</v>
      </c>
      <c r="CM29" s="697">
        <f t="shared" ref="CM29:DG29" si="83">SUBTOTAL(9,CM30:CM31)</f>
        <v>0</v>
      </c>
      <c r="CN29" s="697">
        <f t="shared" si="83"/>
        <v>0</v>
      </c>
      <c r="CO29" s="697">
        <f t="shared" si="83"/>
        <v>3.09E-2</v>
      </c>
      <c r="CP29" s="697">
        <f t="shared" si="83"/>
        <v>3.09E-2</v>
      </c>
      <c r="CQ29" s="697">
        <f t="shared" si="83"/>
        <v>3.09E-2</v>
      </c>
      <c r="CR29" s="697">
        <f t="shared" si="83"/>
        <v>3.09E-2</v>
      </c>
      <c r="CS29" s="697">
        <f t="shared" si="83"/>
        <v>3.09E-2</v>
      </c>
      <c r="CT29" s="697">
        <f t="shared" si="83"/>
        <v>3.09E-2</v>
      </c>
      <c r="CU29" s="697">
        <f t="shared" si="83"/>
        <v>3.09E-2</v>
      </c>
      <c r="CV29" s="697">
        <f t="shared" si="83"/>
        <v>3.09E-2</v>
      </c>
      <c r="CW29" s="697">
        <f t="shared" si="83"/>
        <v>3.09E-2</v>
      </c>
      <c r="CX29" s="697">
        <f t="shared" si="83"/>
        <v>3.09E-2</v>
      </c>
      <c r="CY29" s="697">
        <f t="shared" si="83"/>
        <v>3.09E-2</v>
      </c>
      <c r="CZ29" s="697">
        <f t="shared" si="83"/>
        <v>3.09E-2</v>
      </c>
      <c r="DA29" s="697">
        <f t="shared" si="83"/>
        <v>3.09E-2</v>
      </c>
      <c r="DB29" s="697">
        <f t="shared" si="83"/>
        <v>3.09E-2</v>
      </c>
      <c r="DC29" s="697">
        <f t="shared" si="83"/>
        <v>3.09E-2</v>
      </c>
      <c r="DD29" s="697">
        <f t="shared" si="83"/>
        <v>3.09E-2</v>
      </c>
      <c r="DE29" s="697">
        <f t="shared" si="83"/>
        <v>3.09E-2</v>
      </c>
      <c r="DF29" s="697">
        <f t="shared" si="83"/>
        <v>3.09E-2</v>
      </c>
      <c r="DG29" s="697">
        <f t="shared" si="83"/>
        <v>3.09E-2</v>
      </c>
      <c r="DH29" s="685"/>
      <c r="DK29" s="693"/>
      <c r="DL29" s="697">
        <f>SUBTOTAL(9,DL30:DL31)</f>
        <v>0</v>
      </c>
      <c r="DM29" s="697">
        <f t="shared" ref="DM29:EG29" si="84">SUBTOTAL(9,DM30:DM31)</f>
        <v>0</v>
      </c>
      <c r="DN29" s="697">
        <f t="shared" si="84"/>
        <v>3.0900000000000003E-3</v>
      </c>
      <c r="DO29" s="697">
        <f t="shared" si="84"/>
        <v>4.6350000000000002E-2</v>
      </c>
      <c r="DP29" s="697">
        <f t="shared" si="84"/>
        <v>6.1800000000000001E-2</v>
      </c>
      <c r="DQ29" s="697">
        <f t="shared" si="84"/>
        <v>7.7249999999999999E-2</v>
      </c>
      <c r="DR29" s="697">
        <f t="shared" si="84"/>
        <v>0.1236</v>
      </c>
      <c r="DS29" s="697">
        <f t="shared" si="84"/>
        <v>0.1236</v>
      </c>
      <c r="DT29" s="697">
        <f t="shared" si="84"/>
        <v>0.1236</v>
      </c>
      <c r="DU29" s="697">
        <f t="shared" si="84"/>
        <v>0.1545</v>
      </c>
      <c r="DV29" s="697">
        <f t="shared" si="84"/>
        <v>0.1545</v>
      </c>
      <c r="DW29" s="697">
        <f t="shared" si="84"/>
        <v>0.1545</v>
      </c>
      <c r="DX29" s="697">
        <f t="shared" si="84"/>
        <v>0.18540000000000001</v>
      </c>
      <c r="DY29" s="697">
        <f t="shared" si="84"/>
        <v>0.18540000000000001</v>
      </c>
      <c r="DZ29" s="697">
        <f t="shared" si="84"/>
        <v>0.18540000000000001</v>
      </c>
      <c r="EA29" s="697">
        <f t="shared" si="84"/>
        <v>0.18540000000000001</v>
      </c>
      <c r="EB29" s="697">
        <f t="shared" si="84"/>
        <v>0.18540000000000001</v>
      </c>
      <c r="EC29" s="697">
        <f t="shared" si="84"/>
        <v>0.18540000000000001</v>
      </c>
      <c r="ED29" s="697">
        <f t="shared" si="84"/>
        <v>0.18540000000000001</v>
      </c>
      <c r="EE29" s="697">
        <f t="shared" si="84"/>
        <v>0.18540000000000001</v>
      </c>
      <c r="EF29" s="697">
        <f t="shared" si="84"/>
        <v>0.18540000000000001</v>
      </c>
      <c r="EG29" s="697">
        <f t="shared" si="84"/>
        <v>0.18540000000000001</v>
      </c>
      <c r="EH29" s="698"/>
    </row>
    <row r="30" spans="1:138" ht="14">
      <c r="A30" s="686" t="s">
        <v>224</v>
      </c>
      <c r="B30" s="668" t="s">
        <v>281</v>
      </c>
      <c r="C30" s="674" t="s">
        <v>214</v>
      </c>
      <c r="D30" s="668"/>
      <c r="E30" s="668"/>
      <c r="F30" s="673">
        <v>6.1800000000000001E-2</v>
      </c>
      <c r="G30" s="668"/>
      <c r="H30" s="743">
        <v>46127</v>
      </c>
      <c r="I30" s="738"/>
      <c r="J30" s="742">
        <v>46126</v>
      </c>
      <c r="K30" s="742">
        <f>H30+((O30-H30)*0.5)</f>
        <v>46134.25</v>
      </c>
      <c r="L30" s="738"/>
      <c r="M30" s="743">
        <v>46133</v>
      </c>
      <c r="N30" s="738"/>
      <c r="O30" s="742">
        <f>H30+((W30-H30)*0.5)</f>
        <v>46141.5</v>
      </c>
      <c r="P30" s="668"/>
      <c r="Q30" s="742">
        <v>46140</v>
      </c>
      <c r="R30" s="742"/>
      <c r="S30" s="742">
        <f>O30+((W30-O30)*0.5)</f>
        <v>46148.75</v>
      </c>
      <c r="T30" s="742"/>
      <c r="U30" s="742">
        <v>46148</v>
      </c>
      <c r="V30" s="742"/>
      <c r="W30" s="742">
        <v>46156</v>
      </c>
      <c r="X30" s="742"/>
      <c r="Y30" s="742">
        <v>46156</v>
      </c>
      <c r="Z30" s="742"/>
      <c r="AA30" s="742"/>
      <c r="AB30" s="738"/>
      <c r="AC30" s="738"/>
      <c r="AD30" s="738"/>
      <c r="AE30" s="711">
        <f>AN30</f>
        <v>6.1800000000000001E-2</v>
      </c>
      <c r="AG30" s="717">
        <f>IF(AND($Y30&lt;&gt;0,$Y30&lt;=$BL$6),$Y$12,IF(AND($U30&lt;&gt;0,$U30&lt;=$BL$6),$U$12,IF(AND($Q30&lt;&gt;0,$Q30&lt;=$BL$6),$Q$12,IF(AND($M30&lt;&gt;0,$M30&lt;=$BL$6),$M$12,IF(AND($J30&lt;&gt;0,$J30&lt;=$BL$6),$J$12,0)))))</f>
        <v>1</v>
      </c>
      <c r="AH30" s="707">
        <f>AI30-AG30</f>
        <v>0</v>
      </c>
      <c r="AI30" s="708">
        <f>IF(AND($Y30&lt;&gt;0,$Y30&lt;=$BL$5),$Y$12,IF(AND($U30&lt;&gt;0,$U30&lt;=$BL$5),$U$12,IF(AND($Q30&lt;&gt;0,$Q30&lt;=$BL$5),$Q$12,IF(AND($M30&lt;&gt;0,$M30&lt;=$BL$5),$M$12,IF(AND($J30&lt;&gt;0,$J30&lt;=$BL$5),$J$12,0)))))</f>
        <v>1</v>
      </c>
      <c r="AJ30" s="718">
        <f t="shared" si="42"/>
        <v>1</v>
      </c>
      <c r="AK30" s="718">
        <f t="shared" si="37"/>
        <v>0</v>
      </c>
      <c r="AL30" s="719">
        <f>AI30-AJ30</f>
        <v>0</v>
      </c>
      <c r="AM30" s="720">
        <f>AI30-AK30</f>
        <v>1</v>
      </c>
      <c r="AN30" s="724">
        <f>AI30*F30</f>
        <v>6.1800000000000001E-2</v>
      </c>
      <c r="AO30" s="725">
        <f>AJ30*F30</f>
        <v>6.1800000000000001E-2</v>
      </c>
      <c r="AP30" s="725">
        <f>AK30*F30</f>
        <v>0</v>
      </c>
      <c r="AQ30" s="726">
        <f>AN30-AO30</f>
        <v>0</v>
      </c>
      <c r="AR30" s="681"/>
      <c r="AU30" s="680"/>
      <c r="AZ30" s="831">
        <v>6.1800000000000001E-2</v>
      </c>
      <c r="BA30" s="837"/>
      <c r="BD30" s="500" t="s">
        <v>224</v>
      </c>
      <c r="BE30" s="768">
        <f>AG30*F30</f>
        <v>6.1800000000000001E-2</v>
      </c>
      <c r="BF30" s="769">
        <f>AI30*F30</f>
        <v>6.1800000000000001E-2</v>
      </c>
      <c r="BG30" s="768">
        <f>IF(AND($W30&lt;&gt;0,$W30&lt;=$BL$6),$W$12,IF(AND($S30&lt;&gt;0,$S30&lt;=$BL$6),$S$12,IF(AND($O30&lt;&gt;0,$O30&lt;=$BL$6),$O$12,IF(AND($K30&lt;&gt;0,$K30&lt;=$BL$6),$K$12,IF(AND($H30&lt;&gt;0,$H30&lt;=$BL$6),$H$12,0)))))*$F30</f>
        <v>6.1800000000000001E-2</v>
      </c>
      <c r="BH30" s="763">
        <f>IF(AND($W30&lt;&gt;0,$W30&lt;=$BL$5),$W$12,IF(AND($S30&lt;&gt;0,$S30&lt;=$BL$5),$S$12,IF(AND($O30&lt;&gt;0,$O30&lt;=$BL$5),$O$12,IF(AND($K30&lt;&gt;0,$K30&lt;=$BL$5),$K$12,IF(AND($H30&lt;&gt;0,$H30&lt;=$BL$5),$H$12,0)))))*$F30</f>
        <v>6.1800000000000001E-2</v>
      </c>
      <c r="BI30" s="758">
        <f>IF(AND($X30&lt;&gt;0,$X30&lt;=$BL$6),$X$12,IF(AND($T30&lt;&gt;0,$T30&lt;=$BL$6),$T$12,IF(AND($P30&lt;&gt;0,$P30&lt;=$BL$6),$P$12,IF(AND($L30&lt;&gt;0,$L30&lt;=$BL$6),$L$12,IF(AND($I30&lt;&gt;0,$I30&lt;=$BL$6),$I$12,0)))))*$F30</f>
        <v>0</v>
      </c>
      <c r="BJ30" s="763">
        <f>IF(AND($X30&lt;&gt;0,$X30&lt;=$BL$5),$X$12,IF(AND($T30&lt;&gt;0,$T30&lt;=$BL$5),$T$12,IF(AND($P30&lt;&gt;0,$P30&lt;=$BL$5),$P$12,IF(AND($L30&lt;&gt;0,$L30&lt;=$BL$5),$L$12,IF(AND($I30&lt;&gt;0,$I30&lt;=$BL$5),$I$12,0)))))*$F30</f>
        <v>0</v>
      </c>
      <c r="BL30" s="681"/>
      <c r="BM30" s="695">
        <v>0</v>
      </c>
      <c r="BN30" s="695">
        <f>IF(AND($W30&lt;&gt;0,$W30&lt;=BN$12),$W$12*$F30,IF(AND($S30&lt;&gt;0,$S30&lt;=BN$12),$S$12*$F30,IF(AND($O30&lt;&gt;0,$O30&lt;=BN$12),$O$12*$F30,IF(AND($K30&lt;&gt;0,$K30&lt;=BN$12),$K$12*$F30,IF(AND($H30&lt;&gt;0,$H30&lt;=BN$12),$H$12*$F30,0)))))</f>
        <v>0</v>
      </c>
      <c r="BO30" s="695">
        <f t="shared" si="34"/>
        <v>3.0900000000000003E-3</v>
      </c>
      <c r="BP30" s="695">
        <f t="shared" si="34"/>
        <v>1.545E-2</v>
      </c>
      <c r="BQ30" s="695">
        <f t="shared" si="34"/>
        <v>3.09E-2</v>
      </c>
      <c r="BR30" s="695">
        <f t="shared" si="34"/>
        <v>4.6350000000000002E-2</v>
      </c>
      <c r="BS30" s="695">
        <f t="shared" si="34"/>
        <v>6.1800000000000001E-2</v>
      </c>
      <c r="BT30" s="695">
        <f t="shared" si="34"/>
        <v>6.1800000000000001E-2</v>
      </c>
      <c r="BU30" s="695">
        <f t="shared" si="34"/>
        <v>6.1800000000000001E-2</v>
      </c>
      <c r="BV30" s="695">
        <f t="shared" si="34"/>
        <v>6.1800000000000001E-2</v>
      </c>
      <c r="BW30" s="695">
        <f t="shared" si="34"/>
        <v>6.1800000000000001E-2</v>
      </c>
      <c r="BX30" s="695">
        <f t="shared" si="34"/>
        <v>6.1800000000000001E-2</v>
      </c>
      <c r="BY30" s="695">
        <f t="shared" si="34"/>
        <v>6.1800000000000001E-2</v>
      </c>
      <c r="BZ30" s="695">
        <f t="shared" si="34"/>
        <v>6.1800000000000001E-2</v>
      </c>
      <c r="CA30" s="695">
        <f t="shared" si="34"/>
        <v>6.1800000000000001E-2</v>
      </c>
      <c r="CB30" s="695">
        <f t="shared" si="34"/>
        <v>6.1800000000000001E-2</v>
      </c>
      <c r="CC30" s="695">
        <f t="shared" si="34"/>
        <v>6.1800000000000001E-2</v>
      </c>
      <c r="CD30" s="695">
        <f t="shared" si="34"/>
        <v>6.1800000000000001E-2</v>
      </c>
      <c r="CE30" s="695">
        <f t="shared" si="34"/>
        <v>6.1800000000000001E-2</v>
      </c>
      <c r="CF30" s="695">
        <f t="shared" si="34"/>
        <v>6.1800000000000001E-2</v>
      </c>
      <c r="CG30" s="695">
        <f t="shared" si="34"/>
        <v>6.1800000000000001E-2</v>
      </c>
      <c r="CH30" s="695">
        <f>IF(AND($W30&lt;&gt;0,$W30&lt;=CH$12),$W$12*$F30,IF(AND($S30&lt;&gt;0,$S30&lt;=CH$12),$S$12*$F30,IF(AND($O30&lt;&gt;0,$O30&lt;=CH$12),$O$12*$F30,IF(AND($K30&lt;&gt;0,$K30&lt;=CH$12),$K$12*$F30,IF(AND($H30&lt;&gt;0,$H30&lt;=CH$12),$H$12*$F30,0)))))</f>
        <v>6.1800000000000001E-2</v>
      </c>
      <c r="CI30" s="680"/>
      <c r="CK30" s="681"/>
      <c r="CL30" s="695">
        <v>0</v>
      </c>
      <c r="CM30" s="695">
        <f>IF(AND($X30&lt;&gt;0,$X30&lt;=CM$12),$X$12*$F30,IF(AND($T30&lt;&gt;0,$T30&lt;=CM$12),$T$12*$F30,IF(AND($P30&lt;&gt;0,$P30&lt;=CM$12),$P$12*$F30,IF(AND($L30&lt;&gt;0,$L30&lt;=CM$12),$L$12*$F30,IF(AND($I30&lt;&gt;0,$I30&lt;=CM$12),$I$12*$F30,0)))))</f>
        <v>0</v>
      </c>
      <c r="CN30" s="695">
        <f t="shared" si="35"/>
        <v>0</v>
      </c>
      <c r="CO30" s="695">
        <f t="shared" si="35"/>
        <v>0</v>
      </c>
      <c r="CP30" s="695">
        <f t="shared" si="35"/>
        <v>0</v>
      </c>
      <c r="CQ30" s="695">
        <f t="shared" si="35"/>
        <v>0</v>
      </c>
      <c r="CR30" s="695">
        <f t="shared" si="35"/>
        <v>0</v>
      </c>
      <c r="CS30" s="695">
        <f t="shared" si="35"/>
        <v>0</v>
      </c>
      <c r="CT30" s="695">
        <f t="shared" si="35"/>
        <v>0</v>
      </c>
      <c r="CU30" s="695">
        <f t="shared" si="35"/>
        <v>0</v>
      </c>
      <c r="CV30" s="695">
        <f t="shared" si="35"/>
        <v>0</v>
      </c>
      <c r="CW30" s="695">
        <f t="shared" si="35"/>
        <v>0</v>
      </c>
      <c r="CX30" s="695">
        <f t="shared" si="35"/>
        <v>0</v>
      </c>
      <c r="CY30" s="695">
        <f t="shared" si="35"/>
        <v>0</v>
      </c>
      <c r="CZ30" s="695">
        <f t="shared" si="35"/>
        <v>0</v>
      </c>
      <c r="DA30" s="695">
        <f t="shared" si="35"/>
        <v>0</v>
      </c>
      <c r="DB30" s="695">
        <f t="shared" si="35"/>
        <v>0</v>
      </c>
      <c r="DC30" s="695">
        <f t="shared" si="35"/>
        <v>0</v>
      </c>
      <c r="DD30" s="695">
        <f t="shared" si="35"/>
        <v>0</v>
      </c>
      <c r="DE30" s="695">
        <f t="shared" si="35"/>
        <v>0</v>
      </c>
      <c r="DF30" s="695">
        <f t="shared" si="35"/>
        <v>0</v>
      </c>
      <c r="DG30" s="695">
        <f t="shared" si="35"/>
        <v>0</v>
      </c>
      <c r="DH30" s="680"/>
      <c r="DK30" s="681"/>
      <c r="DL30" s="695">
        <v>0</v>
      </c>
      <c r="DM30" s="695">
        <f>IF(AND($Y30&lt;&gt;0,$Y30&lt;=DM$12),$Y$12*$F30,IF(AND($U30&lt;&gt;0,$U30&lt;=DM$12),$U$12*$F30,IF(AND($Q30&lt;&gt;0,$Q30&lt;=DM$12),$Q$12*$F30,IF(AND($M30&lt;&gt;0,$M30&lt;=DM$12),$M$12*$F30,IF(AND($J30&lt;&gt;0,$J30&lt;=DM$12),$J$12*$F30,0)))))</f>
        <v>0</v>
      </c>
      <c r="DN30" s="695">
        <f t="shared" ref="DN30:EG31" si="85">IF(AND($Y30&lt;&gt;0,$Y30&lt;=DN$12),$Y$12*$F30,IF(AND($U30&lt;&gt;0,$U30&lt;=DN$12),$U$12*$F30,IF(AND($Q30&lt;&gt;0,$Q30&lt;=DN$12),$Q$12*$F30,IF(AND($M30&lt;&gt;0,$M30&lt;=DN$12),$M$12*$F30,IF(AND($J30&lt;&gt;0,$J30&lt;=DN$12),$J$12*$F30,0)))))</f>
        <v>3.0900000000000003E-3</v>
      </c>
      <c r="DO30" s="695">
        <f t="shared" si="85"/>
        <v>1.545E-2</v>
      </c>
      <c r="DP30" s="695">
        <f t="shared" si="85"/>
        <v>3.09E-2</v>
      </c>
      <c r="DQ30" s="695">
        <f t="shared" si="85"/>
        <v>4.6350000000000002E-2</v>
      </c>
      <c r="DR30" s="695">
        <f t="shared" si="85"/>
        <v>6.1800000000000001E-2</v>
      </c>
      <c r="DS30" s="695">
        <f t="shared" si="85"/>
        <v>6.1800000000000001E-2</v>
      </c>
      <c r="DT30" s="695">
        <f t="shared" si="85"/>
        <v>6.1800000000000001E-2</v>
      </c>
      <c r="DU30" s="695">
        <f t="shared" si="85"/>
        <v>6.1800000000000001E-2</v>
      </c>
      <c r="DV30" s="695">
        <f t="shared" si="85"/>
        <v>6.1800000000000001E-2</v>
      </c>
      <c r="DW30" s="695">
        <f t="shared" si="85"/>
        <v>6.1800000000000001E-2</v>
      </c>
      <c r="DX30" s="695">
        <f t="shared" si="85"/>
        <v>6.1800000000000001E-2</v>
      </c>
      <c r="DY30" s="695">
        <f t="shared" si="85"/>
        <v>6.1800000000000001E-2</v>
      </c>
      <c r="DZ30" s="695">
        <f t="shared" si="85"/>
        <v>6.1800000000000001E-2</v>
      </c>
      <c r="EA30" s="695">
        <f t="shared" si="85"/>
        <v>6.1800000000000001E-2</v>
      </c>
      <c r="EB30" s="695">
        <f t="shared" si="85"/>
        <v>6.1800000000000001E-2</v>
      </c>
      <c r="EC30" s="695">
        <f t="shared" si="85"/>
        <v>6.1800000000000001E-2</v>
      </c>
      <c r="ED30" s="695">
        <f t="shared" si="85"/>
        <v>6.1800000000000001E-2</v>
      </c>
      <c r="EE30" s="695">
        <f t="shared" si="85"/>
        <v>6.1800000000000001E-2</v>
      </c>
      <c r="EF30" s="695">
        <f t="shared" si="85"/>
        <v>6.1800000000000001E-2</v>
      </c>
      <c r="EG30" s="695">
        <f t="shared" si="85"/>
        <v>6.1800000000000001E-2</v>
      </c>
      <c r="EH30" s="699"/>
    </row>
    <row r="31" spans="1:138" ht="14">
      <c r="A31" s="686" t="s">
        <v>225</v>
      </c>
      <c r="B31" s="668" t="s">
        <v>282</v>
      </c>
      <c r="C31" s="669" t="s">
        <v>215</v>
      </c>
      <c r="D31" s="668"/>
      <c r="E31" s="668"/>
      <c r="F31" s="673">
        <v>0.1236</v>
      </c>
      <c r="G31" s="668"/>
      <c r="H31" s="743">
        <v>46113</v>
      </c>
      <c r="I31" s="798">
        <v>46132</v>
      </c>
      <c r="J31" s="742">
        <v>46132</v>
      </c>
      <c r="K31" s="742">
        <f>H31+((O31-H31)*0.5)</f>
        <v>46135.5</v>
      </c>
      <c r="L31" s="798">
        <v>46137</v>
      </c>
      <c r="M31" s="743">
        <v>46137</v>
      </c>
      <c r="N31" s="738"/>
      <c r="O31" s="742">
        <f>H31+((W31-H31)*0.5)</f>
        <v>46158</v>
      </c>
      <c r="P31" s="668"/>
      <c r="Q31" s="742">
        <v>46155</v>
      </c>
      <c r="R31" s="742"/>
      <c r="S31" s="742">
        <f>O31+((W31-O31)*0.5)</f>
        <v>46180.5</v>
      </c>
      <c r="T31" s="742"/>
      <c r="U31" s="742">
        <v>46178</v>
      </c>
      <c r="V31" s="742"/>
      <c r="W31" s="742">
        <v>46203</v>
      </c>
      <c r="X31" s="742"/>
      <c r="Y31" s="742">
        <v>46198</v>
      </c>
      <c r="Z31" s="742"/>
      <c r="AA31" s="742"/>
      <c r="AB31" s="738"/>
      <c r="AC31" s="738"/>
      <c r="AD31" s="738"/>
      <c r="AE31" s="711">
        <f>AN31</f>
        <v>0.1236</v>
      </c>
      <c r="AG31" s="717">
        <f>IF(AND($Y31&lt;&gt;0,$Y31&lt;=$BL$6),$Y$12,IF(AND($U31&lt;&gt;0,$U31&lt;=$BL$6),$U$12,IF(AND($Q31&lt;&gt;0,$Q31&lt;=$BL$6),$Q$12,IF(AND($M31&lt;&gt;0,$M31&lt;=$BL$6),$M$12,IF(AND($J31&lt;&gt;0,$J31&lt;=$BL$6),$J$12,0)))))</f>
        <v>1</v>
      </c>
      <c r="AH31" s="707">
        <f>AI31-AG31</f>
        <v>0</v>
      </c>
      <c r="AI31" s="708">
        <f>IF(AND($Y31&lt;&gt;0,$Y31&lt;=$BL$5),$Y$12,IF(AND($U31&lt;&gt;0,$U31&lt;=$BL$5),$U$12,IF(AND($Q31&lt;&gt;0,$Q31&lt;=$BL$5),$Q$12,IF(AND($M31&lt;&gt;0,$M31&lt;=$BL$5),$M$12,IF(AND($J31&lt;&gt;0,$J31&lt;=$BL$5),$J$12,0)))))</f>
        <v>1</v>
      </c>
      <c r="AJ31" s="718">
        <f t="shared" si="42"/>
        <v>1</v>
      </c>
      <c r="AK31" s="718">
        <f t="shared" si="37"/>
        <v>0.25</v>
      </c>
      <c r="AL31" s="719">
        <f>AI31-AJ31</f>
        <v>0</v>
      </c>
      <c r="AM31" s="720">
        <f>AI31-AK31</f>
        <v>0.75</v>
      </c>
      <c r="AN31" s="724">
        <f>AI31*F31</f>
        <v>0.1236</v>
      </c>
      <c r="AO31" s="725">
        <f>AJ31*F31</f>
        <v>0.1236</v>
      </c>
      <c r="AP31" s="725">
        <f>AK31*F31</f>
        <v>3.09E-2</v>
      </c>
      <c r="AQ31" s="726">
        <f>AN31-AO31</f>
        <v>0</v>
      </c>
      <c r="AR31" s="681"/>
      <c r="AU31" s="680"/>
      <c r="AZ31" s="831">
        <v>9.2700000000000005E-2</v>
      </c>
      <c r="BA31" s="837"/>
      <c r="BD31" s="500" t="s">
        <v>225</v>
      </c>
      <c r="BE31" s="768">
        <f>AG31*F31</f>
        <v>0.1236</v>
      </c>
      <c r="BF31" s="769">
        <f>AI31*F31</f>
        <v>0.1236</v>
      </c>
      <c r="BG31" s="768">
        <f>IF(AND($W31&lt;&gt;0,$W31&lt;=$BL$6),$W$12,IF(AND($S31&lt;&gt;0,$S31&lt;=$BL$6),$S$12,IF(AND($O31&lt;&gt;0,$O31&lt;=$BL$6),$O$12,IF(AND($K31&lt;&gt;0,$K31&lt;=$BL$6),$K$12,IF(AND($H31&lt;&gt;0,$H31&lt;=$BL$6),$H$12,0)))))*$F31</f>
        <v>9.2700000000000005E-2</v>
      </c>
      <c r="BH31" s="763">
        <f>IF(AND($W31&lt;&gt;0,$W31&lt;=$BL$5),$W$12,IF(AND($S31&lt;&gt;0,$S31&lt;=$BL$5),$S$12,IF(AND($O31&lt;&gt;0,$O31&lt;=$BL$5),$O$12,IF(AND($K31&lt;&gt;0,$K31&lt;=$BL$5),$K$12,IF(AND($H31&lt;&gt;0,$H31&lt;=$BL$5),$H$12,0)))))*$F31</f>
        <v>0.1236</v>
      </c>
      <c r="BI31" s="758">
        <f>IF(AND($X31&lt;&gt;0,$X31&lt;=$BL$6),$X$12,IF(AND($T31&lt;&gt;0,$T31&lt;=$BL$6),$T$12,IF(AND($P31&lt;&gt;0,$P31&lt;=$BL$6),$P$12,IF(AND($L31&lt;&gt;0,$L31&lt;=$BL$6),$L$12,IF(AND($I31&lt;&gt;0,$I31&lt;=$BL$6),$I$12,0)))))*$F31</f>
        <v>3.09E-2</v>
      </c>
      <c r="BJ31" s="763">
        <f>IF(AND($X31&lt;&gt;0,$X31&lt;=$BL$5),$X$12,IF(AND($T31&lt;&gt;0,$T31&lt;=$BL$5),$T$12,IF(AND($P31&lt;&gt;0,$P31&lt;=$BL$5),$P$12,IF(AND($L31&lt;&gt;0,$L31&lt;=$BL$5),$L$12,IF(AND($I31&lt;&gt;0,$I31&lt;=$BL$5),$I$12,0)))))*$F31</f>
        <v>3.09E-2</v>
      </c>
      <c r="BL31" s="681"/>
      <c r="BM31" s="695">
        <v>0</v>
      </c>
      <c r="BN31" s="695">
        <f>IF(AND($W31&lt;&gt;0,$W31&lt;=BN$12),$W$12*$F31,IF(AND($S31&lt;&gt;0,$S31&lt;=BN$12),$S$12*$F31,IF(AND($O31&lt;&gt;0,$O31&lt;=BN$12),$O$12*$F31,IF(AND($K31&lt;&gt;0,$K31&lt;=BN$12),$K$12*$F31,IF(AND($H31&lt;&gt;0,$H31&lt;=BN$12),$H$12*$F31,0)))))</f>
        <v>6.1800000000000006E-3</v>
      </c>
      <c r="BO31" s="695">
        <f t="shared" si="34"/>
        <v>6.1800000000000006E-3</v>
      </c>
      <c r="BP31" s="695">
        <f t="shared" si="34"/>
        <v>3.09E-2</v>
      </c>
      <c r="BQ31" s="695">
        <f t="shared" si="34"/>
        <v>3.09E-2</v>
      </c>
      <c r="BR31" s="695">
        <f t="shared" si="34"/>
        <v>3.09E-2</v>
      </c>
      <c r="BS31" s="695">
        <f t="shared" si="34"/>
        <v>6.1800000000000001E-2</v>
      </c>
      <c r="BT31" s="695">
        <f t="shared" si="34"/>
        <v>6.1800000000000001E-2</v>
      </c>
      <c r="BU31" s="695">
        <f t="shared" si="34"/>
        <v>6.1800000000000001E-2</v>
      </c>
      <c r="BV31" s="695">
        <f t="shared" si="34"/>
        <v>6.1800000000000001E-2</v>
      </c>
      <c r="BW31" s="695">
        <f t="shared" si="34"/>
        <v>9.2700000000000005E-2</v>
      </c>
      <c r="BX31" s="695">
        <f t="shared" si="34"/>
        <v>9.2700000000000005E-2</v>
      </c>
      <c r="BY31" s="695">
        <f t="shared" si="34"/>
        <v>9.2700000000000005E-2</v>
      </c>
      <c r="BZ31" s="695">
        <f t="shared" si="34"/>
        <v>0.1236</v>
      </c>
      <c r="CA31" s="695">
        <f t="shared" si="34"/>
        <v>0.1236</v>
      </c>
      <c r="CB31" s="695">
        <f t="shared" si="34"/>
        <v>0.1236</v>
      </c>
      <c r="CC31" s="695">
        <f t="shared" si="34"/>
        <v>0.1236</v>
      </c>
      <c r="CD31" s="695">
        <f t="shared" si="34"/>
        <v>0.1236</v>
      </c>
      <c r="CE31" s="695">
        <f t="shared" si="34"/>
        <v>0.1236</v>
      </c>
      <c r="CF31" s="695">
        <f t="shared" si="34"/>
        <v>0.1236</v>
      </c>
      <c r="CG31" s="695">
        <f t="shared" si="34"/>
        <v>0.1236</v>
      </c>
      <c r="CH31" s="695">
        <f>IF(AND($W31&lt;&gt;0,$W31&lt;=CH$12),$W$12*$F31,IF(AND($S31&lt;&gt;0,$S31&lt;=CH$12),$S$12*$F31,IF(AND($O31&lt;&gt;0,$O31&lt;=CH$12),$O$12*$F31,IF(AND($K31&lt;&gt;0,$K31&lt;=CH$12),$K$12*$F31,IF(AND($H31&lt;&gt;0,$H31&lt;=CH$12),$H$12*$F31,0)))))</f>
        <v>0.1236</v>
      </c>
      <c r="CI31" s="680"/>
      <c r="CK31" s="681"/>
      <c r="CL31" s="695">
        <v>0</v>
      </c>
      <c r="CM31" s="695">
        <f>IF(AND($X31&lt;&gt;0,$X31&lt;=CM$12),$X$12*$F31,IF(AND($T31&lt;&gt;0,$T31&lt;=CM$12),$T$12*$F31,IF(AND($P31&lt;&gt;0,$P31&lt;=CM$12),$P$12*$F31,IF(AND($L31&lt;&gt;0,$L31&lt;=CM$12),$L$12*$F31,IF(AND($I31&lt;&gt;0,$I31&lt;=CM$12),$I$12*$F31,0)))))</f>
        <v>0</v>
      </c>
      <c r="CN31" s="695">
        <f t="shared" si="35"/>
        <v>0</v>
      </c>
      <c r="CO31" s="695">
        <f t="shared" si="35"/>
        <v>3.09E-2</v>
      </c>
      <c r="CP31" s="695">
        <f t="shared" si="35"/>
        <v>3.09E-2</v>
      </c>
      <c r="CQ31" s="695">
        <f t="shared" si="35"/>
        <v>3.09E-2</v>
      </c>
      <c r="CR31" s="695">
        <f t="shared" si="35"/>
        <v>3.09E-2</v>
      </c>
      <c r="CS31" s="695">
        <f t="shared" si="35"/>
        <v>3.09E-2</v>
      </c>
      <c r="CT31" s="695">
        <f t="shared" si="35"/>
        <v>3.09E-2</v>
      </c>
      <c r="CU31" s="695">
        <f t="shared" si="35"/>
        <v>3.09E-2</v>
      </c>
      <c r="CV31" s="695">
        <f t="shared" si="35"/>
        <v>3.09E-2</v>
      </c>
      <c r="CW31" s="695">
        <f t="shared" si="35"/>
        <v>3.09E-2</v>
      </c>
      <c r="CX31" s="695">
        <f t="shared" si="35"/>
        <v>3.09E-2</v>
      </c>
      <c r="CY31" s="695">
        <f t="shared" si="35"/>
        <v>3.09E-2</v>
      </c>
      <c r="CZ31" s="695">
        <f t="shared" si="35"/>
        <v>3.09E-2</v>
      </c>
      <c r="DA31" s="695">
        <f t="shared" si="35"/>
        <v>3.09E-2</v>
      </c>
      <c r="DB31" s="695">
        <f t="shared" si="35"/>
        <v>3.09E-2</v>
      </c>
      <c r="DC31" s="695">
        <f t="shared" si="35"/>
        <v>3.09E-2</v>
      </c>
      <c r="DD31" s="695">
        <f t="shared" si="35"/>
        <v>3.09E-2</v>
      </c>
      <c r="DE31" s="695">
        <f t="shared" si="35"/>
        <v>3.09E-2</v>
      </c>
      <c r="DF31" s="695">
        <f t="shared" si="35"/>
        <v>3.09E-2</v>
      </c>
      <c r="DG31" s="695">
        <f t="shared" si="35"/>
        <v>3.09E-2</v>
      </c>
      <c r="DH31" s="680"/>
      <c r="DK31" s="681"/>
      <c r="DL31" s="695">
        <v>0</v>
      </c>
      <c r="DM31" s="695">
        <f>IF(AND($Y31&lt;&gt;0,$Y31&lt;=DM$12),$Y$12*$F31,IF(AND($U31&lt;&gt;0,$U31&lt;=DM$12),$U$12*$F31,IF(AND($Q31&lt;&gt;0,$Q31&lt;=DM$12),$Q$12*$F31,IF(AND($M31&lt;&gt;0,$M31&lt;=DM$12),$M$12*$F31,IF(AND($J31&lt;&gt;0,$J31&lt;=DM$12),$J$12*$F31,0)))))</f>
        <v>0</v>
      </c>
      <c r="DN31" s="695">
        <f t="shared" si="85"/>
        <v>0</v>
      </c>
      <c r="DO31" s="695">
        <f t="shared" si="85"/>
        <v>3.09E-2</v>
      </c>
      <c r="DP31" s="695">
        <f t="shared" si="85"/>
        <v>3.09E-2</v>
      </c>
      <c r="DQ31" s="695">
        <f t="shared" si="85"/>
        <v>3.09E-2</v>
      </c>
      <c r="DR31" s="695">
        <f t="shared" si="85"/>
        <v>6.1800000000000001E-2</v>
      </c>
      <c r="DS31" s="695">
        <f t="shared" si="85"/>
        <v>6.1800000000000001E-2</v>
      </c>
      <c r="DT31" s="695">
        <f t="shared" si="85"/>
        <v>6.1800000000000001E-2</v>
      </c>
      <c r="DU31" s="695">
        <f t="shared" si="85"/>
        <v>9.2700000000000005E-2</v>
      </c>
      <c r="DV31" s="695">
        <f t="shared" si="85"/>
        <v>9.2700000000000005E-2</v>
      </c>
      <c r="DW31" s="695">
        <f t="shared" si="85"/>
        <v>9.2700000000000005E-2</v>
      </c>
      <c r="DX31" s="695">
        <f t="shared" si="85"/>
        <v>0.1236</v>
      </c>
      <c r="DY31" s="695">
        <f t="shared" si="85"/>
        <v>0.1236</v>
      </c>
      <c r="DZ31" s="695">
        <f t="shared" si="85"/>
        <v>0.1236</v>
      </c>
      <c r="EA31" s="695">
        <f t="shared" si="85"/>
        <v>0.1236</v>
      </c>
      <c r="EB31" s="695">
        <f t="shared" si="85"/>
        <v>0.1236</v>
      </c>
      <c r="EC31" s="695">
        <f t="shared" si="85"/>
        <v>0.1236</v>
      </c>
      <c r="ED31" s="695">
        <f t="shared" si="85"/>
        <v>0.1236</v>
      </c>
      <c r="EE31" s="695">
        <f t="shared" si="85"/>
        <v>0.1236</v>
      </c>
      <c r="EF31" s="695">
        <f t="shared" si="85"/>
        <v>0.1236</v>
      </c>
      <c r="EG31" s="695">
        <f t="shared" si="85"/>
        <v>0.1236</v>
      </c>
      <c r="EH31" s="699"/>
    </row>
    <row r="32" spans="1:138" s="643" customFormat="1" ht="14">
      <c r="A32" s="684">
        <v>6</v>
      </c>
      <c r="B32" s="664"/>
      <c r="C32" s="665" t="s">
        <v>216</v>
      </c>
      <c r="D32" s="665"/>
      <c r="E32" s="666"/>
      <c r="F32" s="667">
        <f>SUBTOTAL(9,F33:F36)</f>
        <v>0.31169999999999998</v>
      </c>
      <c r="G32" s="666"/>
      <c r="H32" s="744"/>
      <c r="I32" s="739"/>
      <c r="J32" s="741"/>
      <c r="K32" s="741"/>
      <c r="L32" s="739"/>
      <c r="M32" s="744"/>
      <c r="N32" s="739"/>
      <c r="O32" s="741"/>
      <c r="P32" s="666"/>
      <c r="Q32" s="741"/>
      <c r="R32" s="741"/>
      <c r="S32" s="741"/>
      <c r="T32" s="741"/>
      <c r="U32" s="741"/>
      <c r="V32" s="741"/>
      <c r="W32" s="741"/>
      <c r="X32" s="741"/>
      <c r="Y32" s="741"/>
      <c r="Z32" s="741"/>
      <c r="AA32" s="741"/>
      <c r="AB32" s="739"/>
      <c r="AC32" s="739"/>
      <c r="AD32" s="739"/>
      <c r="AE32" s="710"/>
      <c r="AG32" s="721"/>
      <c r="AH32" s="709"/>
      <c r="AI32" s="709"/>
      <c r="AJ32" s="718"/>
      <c r="AK32" s="718"/>
      <c r="AM32" s="685"/>
      <c r="AN32" s="693"/>
      <c r="AQ32" s="685"/>
      <c r="AR32" s="693"/>
      <c r="AU32" s="685"/>
      <c r="AZ32" s="830">
        <v>0.17145000000000002</v>
      </c>
      <c r="BA32" s="836"/>
      <c r="BD32" s="761">
        <v>6</v>
      </c>
      <c r="BE32" s="767">
        <f t="shared" ref="BE32:BJ32" si="86">SUBTOTAL(9,BE33:BE36)</f>
        <v>0.1948</v>
      </c>
      <c r="BF32" s="762">
        <f t="shared" si="86"/>
        <v>0.22989999999999999</v>
      </c>
      <c r="BG32" s="767">
        <f t="shared" si="86"/>
        <v>0.10112</v>
      </c>
      <c r="BH32" s="762">
        <f t="shared" si="86"/>
        <v>0.17145000000000002</v>
      </c>
      <c r="BI32" s="757">
        <f t="shared" si="86"/>
        <v>0</v>
      </c>
      <c r="BJ32" s="762">
        <f t="shared" si="86"/>
        <v>0</v>
      </c>
      <c r="BL32" s="693"/>
      <c r="BM32" s="697">
        <f>SUBTOTAL(9,BM33:BM36)</f>
        <v>0</v>
      </c>
      <c r="BN32" s="697">
        <f t="shared" ref="BN32:CC32" si="87">SUBTOTAL(9,BN33:BN36)</f>
        <v>0</v>
      </c>
      <c r="BO32" s="697">
        <f t="shared" si="87"/>
        <v>0</v>
      </c>
      <c r="BP32" s="697">
        <f t="shared" si="87"/>
        <v>0</v>
      </c>
      <c r="BQ32" s="697">
        <f t="shared" si="87"/>
        <v>3.31E-3</v>
      </c>
      <c r="BR32" s="697">
        <f t="shared" si="87"/>
        <v>3.31E-3</v>
      </c>
      <c r="BS32" s="697">
        <f t="shared" si="87"/>
        <v>1.6549999999999999E-2</v>
      </c>
      <c r="BT32" s="697">
        <f t="shared" si="87"/>
        <v>1.6549999999999999E-2</v>
      </c>
      <c r="BU32" s="697">
        <f t="shared" si="87"/>
        <v>3.3099999999999997E-2</v>
      </c>
      <c r="BV32" s="697">
        <f t="shared" si="87"/>
        <v>3.3099999999999997E-2</v>
      </c>
      <c r="BW32" s="697">
        <f t="shared" si="87"/>
        <v>4.3044999999999993E-2</v>
      </c>
      <c r="BX32" s="697">
        <f t="shared" si="87"/>
        <v>9.6450000000000008E-2</v>
      </c>
      <c r="BY32" s="697">
        <f t="shared" si="87"/>
        <v>0.10112</v>
      </c>
      <c r="BZ32" s="697">
        <f t="shared" si="87"/>
        <v>0.17145000000000002</v>
      </c>
      <c r="CA32" s="697">
        <f t="shared" si="87"/>
        <v>0.17145000000000002</v>
      </c>
      <c r="CB32" s="697">
        <f t="shared" si="87"/>
        <v>0.22989999999999999</v>
      </c>
      <c r="CC32" s="697">
        <f t="shared" si="87"/>
        <v>0.25324999999999998</v>
      </c>
      <c r="CD32" s="697">
        <f>SUBTOTAL(9,CD33:CD36)</f>
        <v>0.31169999999999998</v>
      </c>
      <c r="CE32" s="697">
        <f t="shared" ref="CE32" si="88">SUBTOTAL(9,CE33:CE36)</f>
        <v>0.31169999999999998</v>
      </c>
      <c r="CF32" s="697">
        <f t="shared" ref="CF32" si="89">SUBTOTAL(9,CF33:CF36)</f>
        <v>0.31169999999999998</v>
      </c>
      <c r="CG32" s="697">
        <f t="shared" ref="CG32" si="90">SUBTOTAL(9,CG33:CG36)</f>
        <v>0.31169999999999998</v>
      </c>
      <c r="CH32" s="697">
        <f t="shared" ref="CH32" si="91">SUBTOTAL(9,CH33:CH36)</f>
        <v>0.31169999999999998</v>
      </c>
      <c r="CI32" s="685"/>
      <c r="CK32" s="693"/>
      <c r="CL32" s="697">
        <f>SUBTOTAL(9,CL33:CL36)</f>
        <v>0</v>
      </c>
      <c r="CM32" s="697">
        <f t="shared" ref="CM32:DG32" si="92">SUBTOTAL(9,CM33:CM36)</f>
        <v>0</v>
      </c>
      <c r="CN32" s="697">
        <f t="shared" si="92"/>
        <v>0</v>
      </c>
      <c r="CO32" s="697">
        <f t="shared" si="92"/>
        <v>0</v>
      </c>
      <c r="CP32" s="697">
        <f t="shared" si="92"/>
        <v>0</v>
      </c>
      <c r="CQ32" s="697">
        <f t="shared" si="92"/>
        <v>0</v>
      </c>
      <c r="CR32" s="697">
        <f t="shared" si="92"/>
        <v>0</v>
      </c>
      <c r="CS32" s="697">
        <f t="shared" si="92"/>
        <v>0</v>
      </c>
      <c r="CT32" s="697">
        <f t="shared" si="92"/>
        <v>0</v>
      </c>
      <c r="CU32" s="697">
        <f t="shared" si="92"/>
        <v>0</v>
      </c>
      <c r="CV32" s="697">
        <f t="shared" si="92"/>
        <v>0</v>
      </c>
      <c r="CW32" s="697">
        <f t="shared" si="92"/>
        <v>0</v>
      </c>
      <c r="CX32" s="697">
        <f t="shared" si="92"/>
        <v>0</v>
      </c>
      <c r="CY32" s="697">
        <f t="shared" si="92"/>
        <v>0</v>
      </c>
      <c r="CZ32" s="697">
        <f t="shared" si="92"/>
        <v>0</v>
      </c>
      <c r="DA32" s="697">
        <f t="shared" si="92"/>
        <v>0</v>
      </c>
      <c r="DB32" s="697">
        <f t="shared" si="92"/>
        <v>0</v>
      </c>
      <c r="DC32" s="697">
        <f t="shared" si="92"/>
        <v>0</v>
      </c>
      <c r="DD32" s="697">
        <f t="shared" si="92"/>
        <v>0</v>
      </c>
      <c r="DE32" s="697">
        <f t="shared" si="92"/>
        <v>0</v>
      </c>
      <c r="DF32" s="697">
        <f t="shared" si="92"/>
        <v>0</v>
      </c>
      <c r="DG32" s="697">
        <f t="shared" si="92"/>
        <v>0</v>
      </c>
      <c r="DH32" s="685"/>
      <c r="DK32" s="693"/>
      <c r="DL32" s="697">
        <f>SUBTOTAL(9,DL33:DL36)</f>
        <v>0</v>
      </c>
      <c r="DM32" s="697">
        <f t="shared" ref="DM32:EG32" si="93">SUBTOTAL(9,DM33:DM36)</f>
        <v>0</v>
      </c>
      <c r="DN32" s="697">
        <f t="shared" si="93"/>
        <v>0</v>
      </c>
      <c r="DO32" s="697">
        <f t="shared" si="93"/>
        <v>0</v>
      </c>
      <c r="DP32" s="697">
        <f t="shared" si="93"/>
        <v>3.31E-3</v>
      </c>
      <c r="DQ32" s="697">
        <f t="shared" si="93"/>
        <v>3.31E-3</v>
      </c>
      <c r="DR32" s="697">
        <f t="shared" si="93"/>
        <v>1.6549999999999999E-2</v>
      </c>
      <c r="DS32" s="697">
        <f t="shared" si="93"/>
        <v>1.6549999999999999E-2</v>
      </c>
      <c r="DT32" s="697">
        <f t="shared" si="93"/>
        <v>3.3685E-2</v>
      </c>
      <c r="DU32" s="697">
        <f t="shared" si="93"/>
        <v>4.1874999999999996E-2</v>
      </c>
      <c r="DV32" s="697">
        <f t="shared" si="93"/>
        <v>8.9589999999999989E-2</v>
      </c>
      <c r="DW32" s="697">
        <f t="shared" si="93"/>
        <v>0.17145000000000002</v>
      </c>
      <c r="DX32" s="697">
        <f t="shared" si="93"/>
        <v>0.17145000000000002</v>
      </c>
      <c r="DY32" s="697">
        <f t="shared" si="93"/>
        <v>0.22989999999999999</v>
      </c>
      <c r="DZ32" s="697">
        <f t="shared" si="93"/>
        <v>0.22989999999999999</v>
      </c>
      <c r="EA32" s="697">
        <f t="shared" si="93"/>
        <v>0.22989999999999999</v>
      </c>
      <c r="EB32" s="697">
        <f t="shared" si="93"/>
        <v>0.22989999999999999</v>
      </c>
      <c r="EC32" s="697">
        <f t="shared" si="93"/>
        <v>0.22989999999999999</v>
      </c>
      <c r="ED32" s="697">
        <f t="shared" si="93"/>
        <v>0.22989999999999999</v>
      </c>
      <c r="EE32" s="697">
        <f t="shared" si="93"/>
        <v>0.22989999999999999</v>
      </c>
      <c r="EF32" s="697">
        <f t="shared" si="93"/>
        <v>0.22989999999999999</v>
      </c>
      <c r="EG32" s="697">
        <f t="shared" si="93"/>
        <v>0.22989999999999999</v>
      </c>
      <c r="EH32" s="698"/>
    </row>
    <row r="33" spans="1:138" ht="14">
      <c r="A33" s="686" t="s">
        <v>226</v>
      </c>
      <c r="B33" s="668" t="s">
        <v>283</v>
      </c>
      <c r="C33" s="669" t="s">
        <v>217</v>
      </c>
      <c r="D33" s="668"/>
      <c r="E33" s="668"/>
      <c r="F33" s="673">
        <v>1.17E-2</v>
      </c>
      <c r="G33" s="668"/>
      <c r="H33" s="743">
        <v>46181</v>
      </c>
      <c r="I33" s="738"/>
      <c r="J33" s="742">
        <v>46172</v>
      </c>
      <c r="K33" s="742">
        <f>H33+((O33-H33)*0.5)</f>
        <v>46184.25</v>
      </c>
      <c r="L33" s="738"/>
      <c r="M33" s="743">
        <v>46174</v>
      </c>
      <c r="N33" s="738"/>
      <c r="O33" s="742">
        <f>H33+((W33-H33)*0.5)</f>
        <v>46187.5</v>
      </c>
      <c r="P33" s="668"/>
      <c r="Q33" s="742">
        <v>46174</v>
      </c>
      <c r="R33" s="742"/>
      <c r="S33" s="742">
        <f>O33+((W33-O33)*0.5)</f>
        <v>46190.75</v>
      </c>
      <c r="T33" s="742"/>
      <c r="U33" s="742">
        <v>46179</v>
      </c>
      <c r="V33" s="742"/>
      <c r="W33" s="742">
        <v>46194</v>
      </c>
      <c r="X33" s="742"/>
      <c r="Y33" s="742">
        <v>46187</v>
      </c>
      <c r="Z33" s="742"/>
      <c r="AA33" s="742"/>
      <c r="AB33" s="738"/>
      <c r="AC33" s="738"/>
      <c r="AD33" s="738"/>
      <c r="AE33" s="711">
        <f>AN33</f>
        <v>1.17E-2</v>
      </c>
      <c r="AG33" s="717">
        <f>IF(AND($Y33&lt;&gt;0,$Y33&lt;=$BL$6),$Y$12,IF(AND($U33&lt;&gt;0,$U33&lt;=$BL$6),$U$12,IF(AND($Q33&lt;&gt;0,$Q33&lt;=$BL$6),$Q$12,IF(AND($M33&lt;&gt;0,$M33&lt;=$BL$6),$M$12,IF(AND($J33&lt;&gt;0,$J33&lt;=$BL$6),$J$12,0)))))</f>
        <v>1</v>
      </c>
      <c r="AH33" s="707">
        <f>AI33-AG33</f>
        <v>0</v>
      </c>
      <c r="AI33" s="708">
        <f>IF(AND($Y33&lt;&gt;0,$Y33&lt;=$BL$5),$Y$12,IF(AND($U33&lt;&gt;0,$U33&lt;=$BL$5),$U$12,IF(AND($Q33&lt;&gt;0,$Q33&lt;=$BL$5),$Q$12,IF(AND($M33&lt;&gt;0,$M33&lt;=$BL$5),$M$12,IF(AND($J33&lt;&gt;0,$J33&lt;=$BL$5),$J$12,0)))))</f>
        <v>1</v>
      </c>
      <c r="AJ33" s="718">
        <f t="shared" si="42"/>
        <v>1</v>
      </c>
      <c r="AK33" s="718">
        <f t="shared" si="37"/>
        <v>0</v>
      </c>
      <c r="AL33" s="719">
        <f>AI33-AJ33</f>
        <v>0</v>
      </c>
      <c r="AM33" s="720">
        <f>AI33-AK33</f>
        <v>1</v>
      </c>
      <c r="AN33" s="724">
        <f>AI33*F33</f>
        <v>1.17E-2</v>
      </c>
      <c r="AO33" s="725">
        <f>AJ33*F33</f>
        <v>1.17E-2</v>
      </c>
      <c r="AP33" s="725">
        <f>AK33*F33</f>
        <v>0</v>
      </c>
      <c r="AQ33" s="726">
        <f>AN33-AO33</f>
        <v>0</v>
      </c>
      <c r="AR33" s="681"/>
      <c r="AU33" s="680"/>
      <c r="AZ33" s="831">
        <v>1.17E-2</v>
      </c>
      <c r="BA33" s="837"/>
      <c r="BD33" s="500" t="s">
        <v>226</v>
      </c>
      <c r="BE33" s="768">
        <f>AG33*F33</f>
        <v>1.17E-2</v>
      </c>
      <c r="BF33" s="769">
        <f>AI33*F33</f>
        <v>1.17E-2</v>
      </c>
      <c r="BG33" s="768">
        <f>IF(AND($W33&lt;&gt;0,$W33&lt;=$BL$6),$W$12,IF(AND($S33&lt;&gt;0,$S33&lt;=$BL$6),$S$12,IF(AND($O33&lt;&gt;0,$O33&lt;=$BL$6),$O$12,IF(AND($K33&lt;&gt;0,$K33&lt;=$BL$6),$K$12,IF(AND($H33&lt;&gt;0,$H33&lt;=$BL$6),$H$12,0)))))*$F33</f>
        <v>1.17E-2</v>
      </c>
      <c r="BH33" s="763">
        <f>IF(AND($W33&lt;&gt;0,$W33&lt;=$BL$5),$W$12,IF(AND($S33&lt;&gt;0,$S33&lt;=$BL$5),$S$12,IF(AND($O33&lt;&gt;0,$O33&lt;=$BL$5),$O$12,IF(AND($K33&lt;&gt;0,$K33&lt;=$BL$5),$K$12,IF(AND($H33&lt;&gt;0,$H33&lt;=$BL$5),$H$12,0)))))*$F33</f>
        <v>1.17E-2</v>
      </c>
      <c r="BI33" s="758">
        <f>IF(AND($X33&lt;&gt;0,$X33&lt;=$BL$6),$X$12,IF(AND($T33&lt;&gt;0,$T33&lt;=$BL$6),$T$12,IF(AND($P33&lt;&gt;0,$P33&lt;=$BL$6),$P$12,IF(AND($L33&lt;&gt;0,$L33&lt;=$BL$6),$L$12,IF(AND($I33&lt;&gt;0,$I33&lt;=$BL$6),$I$12,0)))))*$F33</f>
        <v>0</v>
      </c>
      <c r="BJ33" s="763">
        <f>IF(AND($X33&lt;&gt;0,$X33&lt;=$BL$5),$X$12,IF(AND($T33&lt;&gt;0,$T33&lt;=$BL$5),$T$12,IF(AND($P33&lt;&gt;0,$P33&lt;=$BL$5),$P$12,IF(AND($L33&lt;&gt;0,$L33&lt;=$BL$5),$L$12,IF(AND($I33&lt;&gt;0,$I33&lt;=$BL$5),$I$12,0)))))*$F33</f>
        <v>0</v>
      </c>
      <c r="BL33" s="681"/>
      <c r="BM33" s="695">
        <v>0</v>
      </c>
      <c r="BN33" s="695">
        <f>IF(AND($W33&lt;&gt;0,$W33&lt;=BN$12),$W$12*$F33,IF(AND($S33&lt;&gt;0,$S33&lt;=BN$12),$S$12*$F33,IF(AND($O33&lt;&gt;0,$O33&lt;=BN$12),$O$12*$F33,IF(AND($K33&lt;&gt;0,$K33&lt;=BN$12),$K$12*$F33,IF(AND($H33&lt;&gt;0,$H33&lt;=BN$12),$H$12*$F33,0)))))</f>
        <v>0</v>
      </c>
      <c r="BO33" s="695">
        <f t="shared" si="34"/>
        <v>0</v>
      </c>
      <c r="BP33" s="695">
        <f t="shared" si="34"/>
        <v>0</v>
      </c>
      <c r="BQ33" s="695">
        <f t="shared" si="34"/>
        <v>0</v>
      </c>
      <c r="BR33" s="695">
        <f t="shared" si="34"/>
        <v>0</v>
      </c>
      <c r="BS33" s="695">
        <f t="shared" si="34"/>
        <v>0</v>
      </c>
      <c r="BT33" s="695">
        <f t="shared" si="34"/>
        <v>0</v>
      </c>
      <c r="BU33" s="695">
        <f t="shared" si="34"/>
        <v>0</v>
      </c>
      <c r="BV33" s="695">
        <f t="shared" si="34"/>
        <v>0</v>
      </c>
      <c r="BW33" s="695">
        <f t="shared" si="34"/>
        <v>2.9250000000000001E-3</v>
      </c>
      <c r="BX33" s="695">
        <f t="shared" si="34"/>
        <v>1.17E-2</v>
      </c>
      <c r="BY33" s="695">
        <f t="shared" si="34"/>
        <v>1.17E-2</v>
      </c>
      <c r="BZ33" s="695">
        <f t="shared" si="34"/>
        <v>1.17E-2</v>
      </c>
      <c r="CA33" s="695">
        <f t="shared" si="34"/>
        <v>1.17E-2</v>
      </c>
      <c r="CB33" s="695">
        <f t="shared" si="34"/>
        <v>1.17E-2</v>
      </c>
      <c r="CC33" s="695">
        <f t="shared" si="34"/>
        <v>1.17E-2</v>
      </c>
      <c r="CD33" s="695">
        <f t="shared" si="34"/>
        <v>1.17E-2</v>
      </c>
      <c r="CE33" s="695">
        <f t="shared" si="34"/>
        <v>1.17E-2</v>
      </c>
      <c r="CF33" s="695">
        <f t="shared" si="34"/>
        <v>1.17E-2</v>
      </c>
      <c r="CG33" s="695">
        <f t="shared" si="34"/>
        <v>1.17E-2</v>
      </c>
      <c r="CH33" s="695">
        <f>IF(AND($W33&lt;&gt;0,$W33&lt;=CH$12),$W$12*$F33,IF(AND($S33&lt;&gt;0,$S33&lt;=CH$12),$S$12*$F33,IF(AND($O33&lt;&gt;0,$O33&lt;=CH$12),$O$12*$F33,IF(AND($K33&lt;&gt;0,$K33&lt;=CH$12),$K$12*$F33,IF(AND($H33&lt;&gt;0,$H33&lt;=CH$12),$H$12*$F33,0)))))</f>
        <v>1.17E-2</v>
      </c>
      <c r="CI33" s="680"/>
      <c r="CK33" s="681"/>
      <c r="CL33" s="695">
        <v>0</v>
      </c>
      <c r="CM33" s="695">
        <f>IF(AND($X33&lt;&gt;0,$X33&lt;=CM$12),$X$12*$F33,IF(AND($T33&lt;&gt;0,$T33&lt;=CM$12),$T$12*$F33,IF(AND($P33&lt;&gt;0,$P33&lt;=CM$12),$P$12*$F33,IF(AND($L33&lt;&gt;0,$L33&lt;=CM$12),$L$12*$F33,IF(AND($I33&lt;&gt;0,$I33&lt;=CM$12),$I$12*$F33,0)))))</f>
        <v>0</v>
      </c>
      <c r="CN33" s="695">
        <f t="shared" si="35"/>
        <v>0</v>
      </c>
      <c r="CO33" s="695">
        <f t="shared" si="35"/>
        <v>0</v>
      </c>
      <c r="CP33" s="695">
        <f t="shared" si="35"/>
        <v>0</v>
      </c>
      <c r="CQ33" s="695">
        <f t="shared" si="35"/>
        <v>0</v>
      </c>
      <c r="CR33" s="695">
        <f t="shared" si="35"/>
        <v>0</v>
      </c>
      <c r="CS33" s="695">
        <f t="shared" si="35"/>
        <v>0</v>
      </c>
      <c r="CT33" s="695">
        <f t="shared" si="35"/>
        <v>0</v>
      </c>
      <c r="CU33" s="695">
        <f t="shared" si="35"/>
        <v>0</v>
      </c>
      <c r="CV33" s="695">
        <f t="shared" si="35"/>
        <v>0</v>
      </c>
      <c r="CW33" s="695">
        <f t="shared" si="35"/>
        <v>0</v>
      </c>
      <c r="CX33" s="695">
        <f t="shared" si="35"/>
        <v>0</v>
      </c>
      <c r="CY33" s="695">
        <f t="shared" si="35"/>
        <v>0</v>
      </c>
      <c r="CZ33" s="695">
        <f t="shared" si="35"/>
        <v>0</v>
      </c>
      <c r="DA33" s="695">
        <f t="shared" si="35"/>
        <v>0</v>
      </c>
      <c r="DB33" s="695">
        <f t="shared" si="35"/>
        <v>0</v>
      </c>
      <c r="DC33" s="695">
        <f t="shared" si="35"/>
        <v>0</v>
      </c>
      <c r="DD33" s="695">
        <f t="shared" si="35"/>
        <v>0</v>
      </c>
      <c r="DE33" s="695">
        <f t="shared" si="35"/>
        <v>0</v>
      </c>
      <c r="DF33" s="695">
        <f t="shared" si="35"/>
        <v>0</v>
      </c>
      <c r="DG33" s="695">
        <f t="shared" si="35"/>
        <v>0</v>
      </c>
      <c r="DH33" s="680"/>
      <c r="DK33" s="681"/>
      <c r="DL33" s="695">
        <v>0</v>
      </c>
      <c r="DM33" s="695">
        <f>IF(AND($Y33&lt;&gt;0,$Y33&lt;=DM$12),$Y$12*$F33,IF(AND($U33&lt;&gt;0,$U33&lt;=DM$12),$U$12*$F33,IF(AND($Q33&lt;&gt;0,$Q33&lt;=DM$12),$Q$12*$F33,IF(AND($M33&lt;&gt;0,$M33&lt;=DM$12),$M$12*$F33,IF(AND($J33&lt;&gt;0,$J33&lt;=DM$12),$J$12*$F33,0)))))</f>
        <v>0</v>
      </c>
      <c r="DN33" s="695">
        <f t="shared" ref="DN33:EG36" si="94">IF(AND($Y33&lt;&gt;0,$Y33&lt;=DN$12),$Y$12*$F33,IF(AND($U33&lt;&gt;0,$U33&lt;=DN$12),$U$12*$F33,IF(AND($Q33&lt;&gt;0,$Q33&lt;=DN$12),$Q$12*$F33,IF(AND($M33&lt;&gt;0,$M33&lt;=DN$12),$M$12*$F33,IF(AND($J33&lt;&gt;0,$J33&lt;=DN$12),$J$12*$F33,0)))))</f>
        <v>0</v>
      </c>
      <c r="DO33" s="695">
        <f t="shared" si="94"/>
        <v>0</v>
      </c>
      <c r="DP33" s="695">
        <f t="shared" si="94"/>
        <v>0</v>
      </c>
      <c r="DQ33" s="695">
        <f t="shared" si="94"/>
        <v>0</v>
      </c>
      <c r="DR33" s="695">
        <f t="shared" si="94"/>
        <v>0</v>
      </c>
      <c r="DS33" s="695">
        <f t="shared" si="94"/>
        <v>0</v>
      </c>
      <c r="DT33" s="695">
        <f t="shared" si="94"/>
        <v>5.8500000000000002E-4</v>
      </c>
      <c r="DU33" s="695">
        <f t="shared" si="94"/>
        <v>8.7749999999999998E-3</v>
      </c>
      <c r="DV33" s="695">
        <f t="shared" si="94"/>
        <v>1.17E-2</v>
      </c>
      <c r="DW33" s="695">
        <f t="shared" si="94"/>
        <v>1.17E-2</v>
      </c>
      <c r="DX33" s="695">
        <f t="shared" si="94"/>
        <v>1.17E-2</v>
      </c>
      <c r="DY33" s="695">
        <f t="shared" si="94"/>
        <v>1.17E-2</v>
      </c>
      <c r="DZ33" s="695">
        <f t="shared" si="94"/>
        <v>1.17E-2</v>
      </c>
      <c r="EA33" s="695">
        <f t="shared" si="94"/>
        <v>1.17E-2</v>
      </c>
      <c r="EB33" s="695">
        <f t="shared" si="94"/>
        <v>1.17E-2</v>
      </c>
      <c r="EC33" s="695">
        <f t="shared" si="94"/>
        <v>1.17E-2</v>
      </c>
      <c r="ED33" s="695">
        <f t="shared" si="94"/>
        <v>1.17E-2</v>
      </c>
      <c r="EE33" s="695">
        <f t="shared" si="94"/>
        <v>1.17E-2</v>
      </c>
      <c r="EF33" s="695">
        <f t="shared" si="94"/>
        <v>1.17E-2</v>
      </c>
      <c r="EG33" s="695">
        <f t="shared" si="94"/>
        <v>1.17E-2</v>
      </c>
      <c r="EH33" s="699"/>
    </row>
    <row r="34" spans="1:138" ht="14">
      <c r="A34" s="686" t="s">
        <v>227</v>
      </c>
      <c r="B34" s="668" t="s">
        <v>284</v>
      </c>
      <c r="C34" s="669" t="s">
        <v>218</v>
      </c>
      <c r="D34" s="668"/>
      <c r="E34" s="668"/>
      <c r="F34" s="673">
        <v>6.6199999999999995E-2</v>
      </c>
      <c r="G34" s="668"/>
      <c r="H34" s="743">
        <v>46143</v>
      </c>
      <c r="I34" s="738"/>
      <c r="J34" s="742">
        <v>46143</v>
      </c>
      <c r="K34" s="742">
        <f>H34+((O34-H34)*0.5)</f>
        <v>46158</v>
      </c>
      <c r="L34" s="738"/>
      <c r="M34" s="743">
        <v>46158</v>
      </c>
      <c r="N34" s="738"/>
      <c r="O34" s="742">
        <f>H34+((W34-H34)*0.5)</f>
        <v>46173</v>
      </c>
      <c r="P34" s="668"/>
      <c r="Q34" s="742">
        <v>46172</v>
      </c>
      <c r="R34" s="742"/>
      <c r="S34" s="742">
        <f>O34+((W34-O34)*0.5)</f>
        <v>46188</v>
      </c>
      <c r="T34" s="742"/>
      <c r="U34" s="742">
        <v>46182</v>
      </c>
      <c r="V34" s="742"/>
      <c r="W34" s="742">
        <v>46203</v>
      </c>
      <c r="X34" s="742"/>
      <c r="Y34" s="742">
        <v>46187</v>
      </c>
      <c r="Z34" s="742"/>
      <c r="AA34" s="742"/>
      <c r="AB34" s="738"/>
      <c r="AC34" s="738"/>
      <c r="AD34" s="738"/>
      <c r="AE34" s="711">
        <f t="shared" ref="AE34:AE36" si="95">AN34</f>
        <v>6.6199999999999995E-2</v>
      </c>
      <c r="AG34" s="717">
        <f t="shared" ref="AG34:AG35" si="96">IF(AND($Y34&lt;&gt;0,$Y34&lt;=$BL$6),$Y$12,IF(AND($U34&lt;&gt;0,$U34&lt;=$BL$6),$U$12,IF(AND($Q34&lt;&gt;0,$Q34&lt;=$BL$6),$Q$12,IF(AND($M34&lt;&gt;0,$M34&lt;=$BL$6),$M$12,IF(AND($J34&lt;&gt;0,$J34&lt;=$BL$6),$J$12,0)))))</f>
        <v>1</v>
      </c>
      <c r="AH34" s="707">
        <f t="shared" ref="AH34:AH36" si="97">AI34-AG34</f>
        <v>0</v>
      </c>
      <c r="AI34" s="708">
        <f t="shared" ref="AI34:AI36" si="98">IF(AND($Y34&lt;&gt;0,$Y34&lt;=$BL$5),$Y$12,IF(AND($U34&lt;&gt;0,$U34&lt;=$BL$5),$U$12,IF(AND($Q34&lt;&gt;0,$Q34&lt;=$BL$5),$Q$12,IF(AND($M34&lt;&gt;0,$M34&lt;=$BL$5),$M$12,IF(AND($J34&lt;&gt;0,$J34&lt;=$BL$5),$J$12,0)))))</f>
        <v>1</v>
      </c>
      <c r="AJ34" s="718">
        <f t="shared" si="42"/>
        <v>1</v>
      </c>
      <c r="AK34" s="718">
        <f t="shared" si="37"/>
        <v>0</v>
      </c>
      <c r="AL34" s="719">
        <f t="shared" ref="AL34:AL35" si="99">AI34-AJ34</f>
        <v>0</v>
      </c>
      <c r="AM34" s="720">
        <f t="shared" ref="AM34:AM36" si="100">AI34-AK34</f>
        <v>1</v>
      </c>
      <c r="AN34" s="724">
        <f t="shared" ref="AN34:AN36" si="101">AI34*F34</f>
        <v>6.6199999999999995E-2</v>
      </c>
      <c r="AO34" s="725">
        <f t="shared" ref="AO34:AO36" si="102">AJ34*F34</f>
        <v>6.6199999999999995E-2</v>
      </c>
      <c r="AP34" s="725">
        <f t="shared" ref="AP34:AP36" si="103">AK34*F34</f>
        <v>0</v>
      </c>
      <c r="AQ34" s="726">
        <f t="shared" ref="AQ34:AQ36" si="104">AN34-AO34</f>
        <v>0</v>
      </c>
      <c r="AR34" s="681"/>
      <c r="AU34" s="680"/>
      <c r="AZ34" s="831">
        <v>6.6199999999999995E-2</v>
      </c>
      <c r="BA34" s="837"/>
      <c r="BD34" s="500" t="s">
        <v>227</v>
      </c>
      <c r="BE34" s="768">
        <f t="shared" ref="BE34:BE35" si="105">AG34*F34</f>
        <v>6.6199999999999995E-2</v>
      </c>
      <c r="BF34" s="769">
        <f>AI34*F34</f>
        <v>6.6199999999999995E-2</v>
      </c>
      <c r="BG34" s="768">
        <f>IF(AND($W34&lt;&gt;0,$W34&lt;=$BL$6),$W$12,IF(AND($S34&lt;&gt;0,$S34&lt;=$BL$6),$S$12,IF(AND($O34&lt;&gt;0,$O34&lt;=$BL$6),$O$12,IF(AND($K34&lt;&gt;0,$K34&lt;=$BL$6),$K$12,IF(AND($H34&lt;&gt;0,$H34&lt;=$BL$6),$H$12,0)))))*$F34</f>
        <v>4.965E-2</v>
      </c>
      <c r="BH34" s="763">
        <f>IF(AND($W34&lt;&gt;0,$W34&lt;=$BL$5),$W$12,IF(AND($S34&lt;&gt;0,$S34&lt;=$BL$5),$S$12,IF(AND($O34&lt;&gt;0,$O34&lt;=$BL$5),$O$12,IF(AND($K34&lt;&gt;0,$K34&lt;=$BL$5),$K$12,IF(AND($H34&lt;&gt;0,$H34&lt;=$BL$5),$H$12,0)))))*$F34</f>
        <v>6.6199999999999995E-2</v>
      </c>
      <c r="BI34" s="758">
        <f>IF(AND($X34&lt;&gt;0,$X34&lt;=$BL$6),$X$12,IF(AND($T34&lt;&gt;0,$T34&lt;=$BL$6),$T$12,IF(AND($P34&lt;&gt;0,$P34&lt;=$BL$6),$P$12,IF(AND($L34&lt;&gt;0,$L34&lt;=$BL$6),$L$12,IF(AND($I34&lt;&gt;0,$I34&lt;=$BL$6),$I$12,0)))))*$F34</f>
        <v>0</v>
      </c>
      <c r="BJ34" s="763">
        <f>IF(AND($X34&lt;&gt;0,$X34&lt;=$BL$5),$X$12,IF(AND($T34&lt;&gt;0,$T34&lt;=$BL$5),$T$12,IF(AND($P34&lt;&gt;0,$P34&lt;=$BL$5),$P$12,IF(AND($L34&lt;&gt;0,$L34&lt;=$BL$5),$L$12,IF(AND($I34&lt;&gt;0,$I34&lt;=$BL$5),$I$12,0)))))*$F34</f>
        <v>0</v>
      </c>
      <c r="BL34" s="681"/>
      <c r="BM34" s="695">
        <v>0</v>
      </c>
      <c r="BN34" s="695">
        <f>IF(AND($W34&lt;&gt;0,$W34&lt;=BN$12),$W$12*$F34,IF(AND($S34&lt;&gt;0,$S34&lt;=BN$12),$S$12*$F34,IF(AND($O34&lt;&gt;0,$O34&lt;=BN$12),$O$12*$F34,IF(AND($K34&lt;&gt;0,$K34&lt;=BN$12),$K$12*$F34,IF(AND($H34&lt;&gt;0,$H34&lt;=BN$12),$H$12*$F34,0)))))</f>
        <v>0</v>
      </c>
      <c r="BO34" s="695">
        <f t="shared" si="34"/>
        <v>0</v>
      </c>
      <c r="BP34" s="695">
        <f t="shared" si="34"/>
        <v>0</v>
      </c>
      <c r="BQ34" s="695">
        <f t="shared" si="34"/>
        <v>3.31E-3</v>
      </c>
      <c r="BR34" s="695">
        <f t="shared" si="34"/>
        <v>3.31E-3</v>
      </c>
      <c r="BS34" s="695">
        <f t="shared" si="34"/>
        <v>1.6549999999999999E-2</v>
      </c>
      <c r="BT34" s="695">
        <f t="shared" si="34"/>
        <v>1.6549999999999999E-2</v>
      </c>
      <c r="BU34" s="695">
        <f t="shared" si="34"/>
        <v>3.3099999999999997E-2</v>
      </c>
      <c r="BV34" s="695">
        <f t="shared" si="34"/>
        <v>3.3099999999999997E-2</v>
      </c>
      <c r="BW34" s="695">
        <f t="shared" si="34"/>
        <v>3.3099999999999997E-2</v>
      </c>
      <c r="BX34" s="695">
        <f t="shared" si="34"/>
        <v>4.965E-2</v>
      </c>
      <c r="BY34" s="695">
        <f t="shared" si="34"/>
        <v>4.965E-2</v>
      </c>
      <c r="BZ34" s="695">
        <f t="shared" si="34"/>
        <v>6.6199999999999995E-2</v>
      </c>
      <c r="CA34" s="695">
        <f t="shared" si="34"/>
        <v>6.6199999999999995E-2</v>
      </c>
      <c r="CB34" s="695">
        <f t="shared" si="34"/>
        <v>6.6199999999999995E-2</v>
      </c>
      <c r="CC34" s="695">
        <f t="shared" si="34"/>
        <v>6.6199999999999995E-2</v>
      </c>
      <c r="CD34" s="695">
        <f t="shared" si="34"/>
        <v>6.6199999999999995E-2</v>
      </c>
      <c r="CE34" s="695">
        <f t="shared" si="34"/>
        <v>6.6199999999999995E-2</v>
      </c>
      <c r="CF34" s="695">
        <f t="shared" si="34"/>
        <v>6.6199999999999995E-2</v>
      </c>
      <c r="CG34" s="695">
        <f t="shared" si="34"/>
        <v>6.6199999999999995E-2</v>
      </c>
      <c r="CH34" s="695">
        <f>IF(AND($W34&lt;&gt;0,$W34&lt;=CH$12),$W$12*$F34,IF(AND($S34&lt;&gt;0,$S34&lt;=CH$12),$S$12*$F34,IF(AND($O34&lt;&gt;0,$O34&lt;=CH$12),$O$12*$F34,IF(AND($K34&lt;&gt;0,$K34&lt;=CH$12),$K$12*$F34,IF(AND($H34&lt;&gt;0,$H34&lt;=CH$12),$H$12*$F34,0)))))</f>
        <v>6.6199999999999995E-2</v>
      </c>
      <c r="CI34" s="680"/>
      <c r="CK34" s="681"/>
      <c r="CL34" s="695">
        <v>0</v>
      </c>
      <c r="CM34" s="695">
        <f>IF(AND($X34&lt;&gt;0,$X34&lt;=CM$12),$X$12*$F34,IF(AND($T34&lt;&gt;0,$T34&lt;=CM$12),$T$12*$F34,IF(AND($P34&lt;&gt;0,$P34&lt;=CM$12),$P$12*$F34,IF(AND($L34&lt;&gt;0,$L34&lt;=CM$12),$L$12*$F34,IF(AND($I34&lt;&gt;0,$I34&lt;=CM$12),$I$12*$F34,0)))))</f>
        <v>0</v>
      </c>
      <c r="CN34" s="695">
        <f t="shared" si="35"/>
        <v>0</v>
      </c>
      <c r="CO34" s="695">
        <f t="shared" si="35"/>
        <v>0</v>
      </c>
      <c r="CP34" s="695">
        <f t="shared" si="35"/>
        <v>0</v>
      </c>
      <c r="CQ34" s="695">
        <f t="shared" si="35"/>
        <v>0</v>
      </c>
      <c r="CR34" s="695">
        <f t="shared" si="35"/>
        <v>0</v>
      </c>
      <c r="CS34" s="695">
        <f t="shared" si="35"/>
        <v>0</v>
      </c>
      <c r="CT34" s="695">
        <f t="shared" si="35"/>
        <v>0</v>
      </c>
      <c r="CU34" s="695">
        <f t="shared" si="35"/>
        <v>0</v>
      </c>
      <c r="CV34" s="695">
        <f t="shared" si="35"/>
        <v>0</v>
      </c>
      <c r="CW34" s="695">
        <f t="shared" si="35"/>
        <v>0</v>
      </c>
      <c r="CX34" s="695">
        <f t="shared" si="35"/>
        <v>0</v>
      </c>
      <c r="CY34" s="695">
        <f t="shared" si="35"/>
        <v>0</v>
      </c>
      <c r="CZ34" s="695">
        <f t="shared" si="35"/>
        <v>0</v>
      </c>
      <c r="DA34" s="695">
        <f t="shared" si="35"/>
        <v>0</v>
      </c>
      <c r="DB34" s="695">
        <f t="shared" si="35"/>
        <v>0</v>
      </c>
      <c r="DC34" s="695">
        <f t="shared" ref="DC34:DG34" si="106">IF(AND($X34&lt;&gt;0,$X34&lt;=DC$12),$X$12*$F34,IF(AND($T34&lt;&gt;0,$T34&lt;=DC$12),$T$12*$F34,IF(AND($P34&lt;&gt;0,$P34&lt;=DC$12),$P$12*$F34,IF(AND($L34&lt;&gt;0,$L34&lt;=DC$12),$L$12*$F34,IF(AND($I34&lt;&gt;0,$I34&lt;=DC$12),$I$12*$F34,0)))))</f>
        <v>0</v>
      </c>
      <c r="DD34" s="695">
        <f t="shared" si="106"/>
        <v>0</v>
      </c>
      <c r="DE34" s="695">
        <f t="shared" si="106"/>
        <v>0</v>
      </c>
      <c r="DF34" s="695">
        <f t="shared" si="106"/>
        <v>0</v>
      </c>
      <c r="DG34" s="695">
        <f t="shared" si="106"/>
        <v>0</v>
      </c>
      <c r="DH34" s="680"/>
      <c r="DK34" s="681"/>
      <c r="DL34" s="695">
        <v>0</v>
      </c>
      <c r="DM34" s="695">
        <f t="shared" ref="DM34:DM35" si="107">IF(AND($Y34&lt;&gt;0,$Y34&lt;=DM$12),$Y$12*$F34,IF(AND($U34&lt;&gt;0,$U34&lt;=DM$12),$U$12*$F34,IF(AND($Q34&lt;&gt;0,$Q34&lt;=DM$12),$Q$12*$F34,IF(AND($M34&lt;&gt;0,$M34&lt;=DM$12),$M$12*$F34,IF(AND($J34&lt;&gt;0,$J34&lt;=DM$12),$J$12*$F34,0)))))</f>
        <v>0</v>
      </c>
      <c r="DN34" s="695">
        <f t="shared" si="94"/>
        <v>0</v>
      </c>
      <c r="DO34" s="695">
        <f t="shared" si="94"/>
        <v>0</v>
      </c>
      <c r="DP34" s="695">
        <f t="shared" si="94"/>
        <v>3.31E-3</v>
      </c>
      <c r="DQ34" s="695">
        <f t="shared" si="94"/>
        <v>3.31E-3</v>
      </c>
      <c r="DR34" s="695">
        <f t="shared" si="94"/>
        <v>1.6549999999999999E-2</v>
      </c>
      <c r="DS34" s="695">
        <f t="shared" si="94"/>
        <v>1.6549999999999999E-2</v>
      </c>
      <c r="DT34" s="695">
        <f t="shared" si="94"/>
        <v>3.3099999999999997E-2</v>
      </c>
      <c r="DU34" s="695">
        <f t="shared" si="94"/>
        <v>3.3099999999999997E-2</v>
      </c>
      <c r="DV34" s="695">
        <f t="shared" si="94"/>
        <v>6.6199999999999995E-2</v>
      </c>
      <c r="DW34" s="695">
        <f t="shared" si="94"/>
        <v>6.6199999999999995E-2</v>
      </c>
      <c r="DX34" s="695">
        <f t="shared" si="94"/>
        <v>6.6199999999999995E-2</v>
      </c>
      <c r="DY34" s="695">
        <f t="shared" si="94"/>
        <v>6.6199999999999995E-2</v>
      </c>
      <c r="DZ34" s="695">
        <f t="shared" si="94"/>
        <v>6.6199999999999995E-2</v>
      </c>
      <c r="EA34" s="695">
        <f t="shared" si="94"/>
        <v>6.6199999999999995E-2</v>
      </c>
      <c r="EB34" s="695">
        <f t="shared" si="94"/>
        <v>6.6199999999999995E-2</v>
      </c>
      <c r="EC34" s="695">
        <f t="shared" si="94"/>
        <v>6.6199999999999995E-2</v>
      </c>
      <c r="ED34" s="695">
        <f t="shared" si="94"/>
        <v>6.6199999999999995E-2</v>
      </c>
      <c r="EE34" s="695">
        <f t="shared" si="94"/>
        <v>6.6199999999999995E-2</v>
      </c>
      <c r="EF34" s="695">
        <f t="shared" si="94"/>
        <v>6.6199999999999995E-2</v>
      </c>
      <c r="EG34" s="695">
        <f t="shared" si="94"/>
        <v>6.6199999999999995E-2</v>
      </c>
      <c r="EH34" s="699"/>
    </row>
    <row r="35" spans="1:138" ht="14">
      <c r="A35" s="686" t="s">
        <v>228</v>
      </c>
      <c r="B35" s="668" t="s">
        <v>285</v>
      </c>
      <c r="C35" s="674" t="s">
        <v>219</v>
      </c>
      <c r="D35" s="668"/>
      <c r="E35" s="668"/>
      <c r="F35" s="675">
        <v>0.1404</v>
      </c>
      <c r="G35" s="668"/>
      <c r="H35" s="743">
        <v>46181</v>
      </c>
      <c r="I35" s="738"/>
      <c r="J35" s="742">
        <v>46181</v>
      </c>
      <c r="K35" s="742">
        <f>H35+((O35-H35)*0.5)</f>
        <v>46194</v>
      </c>
      <c r="L35" s="738"/>
      <c r="M35" s="743">
        <v>46192</v>
      </c>
      <c r="N35" s="738"/>
      <c r="O35" s="742">
        <f>H35+((W35-H35)*0.5)</f>
        <v>46207</v>
      </c>
      <c r="P35" s="668"/>
      <c r="Q35" s="742">
        <v>46192</v>
      </c>
      <c r="R35" s="742"/>
      <c r="S35" s="742">
        <f>O35+((W35-O35)*0.5)</f>
        <v>46220</v>
      </c>
      <c r="T35" s="742"/>
      <c r="U35" s="742">
        <v>46204</v>
      </c>
      <c r="V35" s="742"/>
      <c r="W35" s="742">
        <v>46233</v>
      </c>
      <c r="X35" s="742"/>
      <c r="Y35" s="742"/>
      <c r="Z35" s="742"/>
      <c r="AA35" s="742"/>
      <c r="AB35" s="738"/>
      <c r="AC35" s="738"/>
      <c r="AD35" s="738"/>
      <c r="AE35" s="711">
        <f t="shared" si="95"/>
        <v>0.1053</v>
      </c>
      <c r="AG35" s="717">
        <f t="shared" si="96"/>
        <v>0.5</v>
      </c>
      <c r="AH35" s="707">
        <f t="shared" si="97"/>
        <v>0.25</v>
      </c>
      <c r="AI35" s="708">
        <f t="shared" si="98"/>
        <v>0.75</v>
      </c>
      <c r="AJ35" s="718">
        <f t="shared" si="42"/>
        <v>0.5</v>
      </c>
      <c r="AK35" s="718">
        <f t="shared" si="37"/>
        <v>0</v>
      </c>
      <c r="AL35" s="719">
        <f t="shared" si="99"/>
        <v>0.25</v>
      </c>
      <c r="AM35" s="720">
        <f t="shared" si="100"/>
        <v>0.75</v>
      </c>
      <c r="AN35" s="724">
        <f t="shared" si="101"/>
        <v>0.1053</v>
      </c>
      <c r="AO35" s="725">
        <f t="shared" si="102"/>
        <v>7.0199999999999999E-2</v>
      </c>
      <c r="AP35" s="725">
        <f t="shared" si="103"/>
        <v>0</v>
      </c>
      <c r="AQ35" s="726">
        <f t="shared" si="104"/>
        <v>3.5100000000000006E-2</v>
      </c>
      <c r="AR35" s="681"/>
      <c r="AU35" s="680"/>
      <c r="AZ35" s="831">
        <v>7.0199999999999999E-2</v>
      </c>
      <c r="BA35" s="837"/>
      <c r="BD35" s="500" t="s">
        <v>228</v>
      </c>
      <c r="BE35" s="768">
        <f t="shared" si="105"/>
        <v>7.0199999999999999E-2</v>
      </c>
      <c r="BF35" s="769">
        <f t="shared" ref="BF35" si="108">AI35*F35</f>
        <v>0.1053</v>
      </c>
      <c r="BG35" s="768">
        <f>IF(AND($W35&lt;&gt;0,$W35&lt;=$BL$6),$W$12,IF(AND($S35&lt;&gt;0,$S35&lt;=$BL$6),$S$12,IF(AND($O35&lt;&gt;0,$O35&lt;=$BL$6),$O$12,IF(AND($K35&lt;&gt;0,$K35&lt;=$BL$6),$K$12,IF(AND($H35&lt;&gt;0,$H35&lt;=$BL$6),$H$12,0)))))*$F35</f>
        <v>3.5099999999999999E-2</v>
      </c>
      <c r="BH35" s="763">
        <f>IF(AND($W35&lt;&gt;0,$W35&lt;=$BL$5),$W$12,IF(AND($S35&lt;&gt;0,$S35&lt;=$BL$5),$S$12,IF(AND($O35&lt;&gt;0,$O35&lt;=$BL$5),$O$12,IF(AND($K35&lt;&gt;0,$K35&lt;=$BL$5),$K$12,IF(AND($H35&lt;&gt;0,$H35&lt;=$BL$5),$H$12,0)))))*$F35</f>
        <v>7.0199999999999999E-2</v>
      </c>
      <c r="BI35" s="758">
        <f>IF(AND($X35&lt;&gt;0,$X35&lt;=$BL$6),$X$12,IF(AND($T35&lt;&gt;0,$T35&lt;=$BL$6),$T$12,IF(AND($P35&lt;&gt;0,$P35&lt;=$BL$6),$P$12,IF(AND($L35&lt;&gt;0,$L35&lt;=$BL$6),$L$12,IF(AND($I35&lt;&gt;0,$I35&lt;=$BL$6),$I$12,0)))))*$F35</f>
        <v>0</v>
      </c>
      <c r="BJ35" s="763">
        <f>IF(AND($X35&lt;&gt;0,$X35&lt;=$BL$5),$X$12,IF(AND($T35&lt;&gt;0,$T35&lt;=$BL$5),$T$12,IF(AND($P35&lt;&gt;0,$P35&lt;=$BL$5),$P$12,IF(AND($L35&lt;&gt;0,$L35&lt;=$BL$5),$L$12,IF(AND($I35&lt;&gt;0,$I35&lt;=$BL$5),$I$12,0)))))*$F35</f>
        <v>0</v>
      </c>
      <c r="BL35" s="681"/>
      <c r="BM35" s="695">
        <v>0</v>
      </c>
      <c r="BN35" s="695">
        <f>IF(AND($W35&lt;&gt;0,$W35&lt;=BN$12),$W$12*$F35,IF(AND($S35&lt;&gt;0,$S35&lt;=BN$12),$S$12*$F35,IF(AND($O35&lt;&gt;0,$O35&lt;=BN$12),$O$12*$F35,IF(AND($K35&lt;&gt;0,$K35&lt;=BN$12),$K$12*$F35,IF(AND($H35&lt;&gt;0,$H35&lt;=BN$12),$H$12*$F35,0)))))</f>
        <v>0</v>
      </c>
      <c r="BO35" s="695">
        <f t="shared" si="34"/>
        <v>0</v>
      </c>
      <c r="BP35" s="695">
        <f t="shared" si="34"/>
        <v>0</v>
      </c>
      <c r="BQ35" s="695">
        <f t="shared" si="34"/>
        <v>0</v>
      </c>
      <c r="BR35" s="695">
        <f t="shared" si="34"/>
        <v>0</v>
      </c>
      <c r="BS35" s="695">
        <f t="shared" si="34"/>
        <v>0</v>
      </c>
      <c r="BT35" s="695">
        <f t="shared" si="34"/>
        <v>0</v>
      </c>
      <c r="BU35" s="695">
        <f t="shared" si="34"/>
        <v>0</v>
      </c>
      <c r="BV35" s="695">
        <f t="shared" si="34"/>
        <v>0</v>
      </c>
      <c r="BW35" s="695">
        <f t="shared" ref="BW35:CG35" si="109">IF(AND($W35&lt;&gt;0,$W35&lt;=BW$12),$W$12*$F35,IF(AND($S35&lt;&gt;0,$S35&lt;=BW$12),$S$12*$F35,IF(AND($O35&lt;&gt;0,$O35&lt;=BW$12),$O$12*$F35,IF(AND($K35&lt;&gt;0,$K35&lt;=BW$12),$K$12*$F35,IF(AND($H35&lt;&gt;0,$H35&lt;=BW$12),$H$12*$F35,0)))))</f>
        <v>7.0200000000000002E-3</v>
      </c>
      <c r="BX35" s="695">
        <f t="shared" si="109"/>
        <v>3.5099999999999999E-2</v>
      </c>
      <c r="BY35" s="695">
        <f t="shared" si="109"/>
        <v>3.5099999999999999E-2</v>
      </c>
      <c r="BZ35" s="695">
        <f t="shared" si="109"/>
        <v>7.0199999999999999E-2</v>
      </c>
      <c r="CA35" s="695">
        <f t="shared" si="109"/>
        <v>7.0199999999999999E-2</v>
      </c>
      <c r="CB35" s="695">
        <f t="shared" si="109"/>
        <v>0.1053</v>
      </c>
      <c r="CC35" s="695">
        <f t="shared" si="109"/>
        <v>0.1053</v>
      </c>
      <c r="CD35" s="695">
        <f t="shared" si="109"/>
        <v>0.1404</v>
      </c>
      <c r="CE35" s="695">
        <f t="shared" si="109"/>
        <v>0.1404</v>
      </c>
      <c r="CF35" s="695">
        <f t="shared" si="109"/>
        <v>0.1404</v>
      </c>
      <c r="CG35" s="695">
        <f t="shared" si="109"/>
        <v>0.1404</v>
      </c>
      <c r="CH35" s="695">
        <f>IF(AND($W35&lt;&gt;0,$W35&lt;=CH$12),$W$12*$F35,IF(AND($S35&lt;&gt;0,$S35&lt;=CH$12),$S$12*$F35,IF(AND($O35&lt;&gt;0,$O35&lt;=CH$12),$O$12*$F35,IF(AND($K35&lt;&gt;0,$K35&lt;=CH$12),$K$12*$F35,IF(AND($H35&lt;&gt;0,$H35&lt;=CH$12),$H$12*$F35,0)))))</f>
        <v>0.1404</v>
      </c>
      <c r="CI35" s="680"/>
      <c r="CK35" s="681"/>
      <c r="CL35" s="695">
        <v>0</v>
      </c>
      <c r="CM35" s="695">
        <f>IF(AND($X35&lt;&gt;0,$X35&lt;=CM$12),$X$12*$F35,IF(AND($T35&lt;&gt;0,$T35&lt;=CM$12),$T$12*$F35,IF(AND($P35&lt;&gt;0,$P35&lt;=CM$12),$P$12*$F35,IF(AND($L35&lt;&gt;0,$L35&lt;=CM$12),$L$12*$F35,IF(AND($I35&lt;&gt;0,$I35&lt;=CM$12),$I$12*$F35,0)))))</f>
        <v>0</v>
      </c>
      <c r="CN35" s="695">
        <f t="shared" ref="CN35:DG36" si="110">IF(AND($X35&lt;&gt;0,$X35&lt;=CN$12),$X$12*$F35,IF(AND($T35&lt;&gt;0,$T35&lt;=CN$12),$T$12*$F35,IF(AND($P35&lt;&gt;0,$P35&lt;=CN$12),$P$12*$F35,IF(AND($L35&lt;&gt;0,$L35&lt;=CN$12),$L$12*$F35,IF(AND($I35&lt;&gt;0,$I35&lt;=CN$12),$I$12*$F35,0)))))</f>
        <v>0</v>
      </c>
      <c r="CO35" s="695">
        <f t="shared" si="110"/>
        <v>0</v>
      </c>
      <c r="CP35" s="695">
        <f t="shared" si="110"/>
        <v>0</v>
      </c>
      <c r="CQ35" s="695">
        <f t="shared" si="110"/>
        <v>0</v>
      </c>
      <c r="CR35" s="695">
        <f t="shared" si="110"/>
        <v>0</v>
      </c>
      <c r="CS35" s="695">
        <f t="shared" si="110"/>
        <v>0</v>
      </c>
      <c r="CT35" s="695">
        <f t="shared" si="110"/>
        <v>0</v>
      </c>
      <c r="CU35" s="695">
        <f t="shared" si="110"/>
        <v>0</v>
      </c>
      <c r="CV35" s="695">
        <f t="shared" si="110"/>
        <v>0</v>
      </c>
      <c r="CW35" s="695">
        <f t="shared" si="110"/>
        <v>0</v>
      </c>
      <c r="CX35" s="695">
        <f t="shared" si="110"/>
        <v>0</v>
      </c>
      <c r="CY35" s="695">
        <f t="shared" si="110"/>
        <v>0</v>
      </c>
      <c r="CZ35" s="695">
        <f t="shared" si="110"/>
        <v>0</v>
      </c>
      <c r="DA35" s="695">
        <f t="shared" si="110"/>
        <v>0</v>
      </c>
      <c r="DB35" s="695">
        <f t="shared" si="110"/>
        <v>0</v>
      </c>
      <c r="DC35" s="695">
        <f t="shared" si="110"/>
        <v>0</v>
      </c>
      <c r="DD35" s="695">
        <f t="shared" si="110"/>
        <v>0</v>
      </c>
      <c r="DE35" s="695">
        <f t="shared" si="110"/>
        <v>0</v>
      </c>
      <c r="DF35" s="695">
        <f t="shared" si="110"/>
        <v>0</v>
      </c>
      <c r="DG35" s="695">
        <f t="shared" si="110"/>
        <v>0</v>
      </c>
      <c r="DH35" s="680"/>
      <c r="DK35" s="681"/>
      <c r="DL35" s="695">
        <v>0</v>
      </c>
      <c r="DM35" s="695">
        <f t="shared" si="107"/>
        <v>0</v>
      </c>
      <c r="DN35" s="695">
        <f t="shared" si="94"/>
        <v>0</v>
      </c>
      <c r="DO35" s="695">
        <f t="shared" si="94"/>
        <v>0</v>
      </c>
      <c r="DP35" s="695">
        <f t="shared" si="94"/>
        <v>0</v>
      </c>
      <c r="DQ35" s="695">
        <f t="shared" si="94"/>
        <v>0</v>
      </c>
      <c r="DR35" s="695">
        <f t="shared" si="94"/>
        <v>0</v>
      </c>
      <c r="DS35" s="695">
        <f t="shared" si="94"/>
        <v>0</v>
      </c>
      <c r="DT35" s="695">
        <f t="shared" si="94"/>
        <v>0</v>
      </c>
      <c r="DU35" s="695">
        <f t="shared" si="94"/>
        <v>0</v>
      </c>
      <c r="DV35" s="695">
        <f t="shared" si="94"/>
        <v>7.0200000000000002E-3</v>
      </c>
      <c r="DW35" s="695">
        <f t="shared" si="94"/>
        <v>7.0199999999999999E-2</v>
      </c>
      <c r="DX35" s="695">
        <f t="shared" si="94"/>
        <v>7.0199999999999999E-2</v>
      </c>
      <c r="DY35" s="695">
        <f t="shared" si="94"/>
        <v>0.1053</v>
      </c>
      <c r="DZ35" s="695">
        <f t="shared" si="94"/>
        <v>0.1053</v>
      </c>
      <c r="EA35" s="695">
        <f t="shared" si="94"/>
        <v>0.1053</v>
      </c>
      <c r="EB35" s="695">
        <f t="shared" si="94"/>
        <v>0.1053</v>
      </c>
      <c r="EC35" s="695">
        <f t="shared" si="94"/>
        <v>0.1053</v>
      </c>
      <c r="ED35" s="695">
        <f t="shared" si="94"/>
        <v>0.1053</v>
      </c>
      <c r="EE35" s="695">
        <f t="shared" si="94"/>
        <v>0.1053</v>
      </c>
      <c r="EF35" s="695">
        <f t="shared" si="94"/>
        <v>0.1053</v>
      </c>
      <c r="EG35" s="695">
        <f t="shared" si="94"/>
        <v>0.1053</v>
      </c>
      <c r="EH35" s="699"/>
    </row>
    <row r="36" spans="1:138" ht="15" thickBot="1">
      <c r="A36" s="686" t="s">
        <v>229</v>
      </c>
      <c r="B36" s="668" t="s">
        <v>286</v>
      </c>
      <c r="C36" s="669" t="s">
        <v>220</v>
      </c>
      <c r="D36" s="668"/>
      <c r="E36" s="668"/>
      <c r="F36" s="673">
        <v>9.3399999999999997E-2</v>
      </c>
      <c r="G36" s="668"/>
      <c r="H36" s="743">
        <v>46197</v>
      </c>
      <c r="I36" s="738"/>
      <c r="J36" s="742">
        <v>46187</v>
      </c>
      <c r="K36" s="742">
        <f>H36+((O36-H36)*0.5)</f>
        <v>46206.25</v>
      </c>
      <c r="L36" s="738"/>
      <c r="M36" s="743">
        <v>46191</v>
      </c>
      <c r="N36" s="738"/>
      <c r="O36" s="742">
        <f>H36+((W36-H36)*0.5)</f>
        <v>46215.5</v>
      </c>
      <c r="P36" s="668"/>
      <c r="Q36" s="742">
        <v>46202</v>
      </c>
      <c r="R36" s="742"/>
      <c r="S36" s="742">
        <f>O36+((W36-O36)*0.5)</f>
        <v>46224.75</v>
      </c>
      <c r="T36" s="742"/>
      <c r="U36" s="742"/>
      <c r="V36" s="742"/>
      <c r="W36" s="742">
        <v>46234</v>
      </c>
      <c r="X36" s="742"/>
      <c r="Y36" s="742"/>
      <c r="Z36" s="742"/>
      <c r="AA36" s="742"/>
      <c r="AB36" s="738"/>
      <c r="AC36" s="738"/>
      <c r="AD36" s="738"/>
      <c r="AE36" s="711">
        <f t="shared" si="95"/>
        <v>4.6699999999999998E-2</v>
      </c>
      <c r="AG36" s="717">
        <f>IF(AND($Y36&lt;&gt;0,$Y36&lt;=$BL$6),$Y$12,IF(AND($U36&lt;&gt;0,$U36&lt;=$BL$6),$U$12,IF(AND($Q36&lt;&gt;0,$Q36&lt;=$BL$6),$Q$12,IF(AND($M36&lt;&gt;0,$M36&lt;=$BL$6),$M$12,IF(AND($J36&lt;&gt;0,$J36&lt;=$BL$6),$J$12,0)))))</f>
        <v>0.5</v>
      </c>
      <c r="AH36" s="707">
        <f t="shared" si="97"/>
        <v>0</v>
      </c>
      <c r="AI36" s="708">
        <f t="shared" si="98"/>
        <v>0.5</v>
      </c>
      <c r="AJ36" s="718">
        <f t="shared" si="42"/>
        <v>0.25</v>
      </c>
      <c r="AK36" s="718">
        <f t="shared" si="37"/>
        <v>0</v>
      </c>
      <c r="AL36" s="719">
        <f>AI36-AJ36</f>
        <v>0.25</v>
      </c>
      <c r="AM36" s="720">
        <f t="shared" si="100"/>
        <v>0.5</v>
      </c>
      <c r="AN36" s="724">
        <f t="shared" si="101"/>
        <v>4.6699999999999998E-2</v>
      </c>
      <c r="AO36" s="725">
        <f t="shared" si="102"/>
        <v>2.3349999999999999E-2</v>
      </c>
      <c r="AP36" s="725">
        <f t="shared" si="103"/>
        <v>0</v>
      </c>
      <c r="AQ36" s="726">
        <f t="shared" si="104"/>
        <v>2.3349999999999999E-2</v>
      </c>
      <c r="AR36" s="681"/>
      <c r="AU36" s="680"/>
      <c r="AZ36" s="831">
        <v>2.3349999999999999E-2</v>
      </c>
      <c r="BA36" s="837"/>
      <c r="BD36" s="500" t="s">
        <v>229</v>
      </c>
      <c r="BE36" s="768">
        <f>AG36*F36</f>
        <v>4.6699999999999998E-2</v>
      </c>
      <c r="BF36" s="769">
        <f>AI36*F36</f>
        <v>4.6699999999999998E-2</v>
      </c>
      <c r="BG36" s="768">
        <f>IF(AND($W36&lt;&gt;0,$W36&lt;=$BL$6),$W$12,IF(AND($S36&lt;&gt;0,$S36&lt;=$BL$6),$S$12,IF(AND($O36&lt;&gt;0,$O36&lt;=$BL$6),$O$12,IF(AND($K36&lt;&gt;0,$K36&lt;=$BL$6),$K$12,IF(AND($H36&lt;&gt;0,$H36&lt;=$BL$6),$H$12,0)))))*$F36</f>
        <v>4.6699999999999997E-3</v>
      </c>
      <c r="BH36" s="763">
        <f>IF(AND($W36&lt;&gt;0,$W36&lt;=$BL$5),$W$12,IF(AND($S36&lt;&gt;0,$S36&lt;=$BL$5),$S$12,IF(AND($O36&lt;&gt;0,$O36&lt;=$BL$5),$O$12,IF(AND($K36&lt;&gt;0,$K36&lt;=$BL$5),$K$12,IF(AND($H36&lt;&gt;0,$H36&lt;=$BL$5),$H$12,0)))))*$F36</f>
        <v>2.3349999999999999E-2</v>
      </c>
      <c r="BI36" s="758">
        <f>IF(AND($X36&lt;&gt;0,$X36&lt;=$BL$6),$X$12,IF(AND($T36&lt;&gt;0,$T36&lt;=$BL$6),$T$12,IF(AND($P36&lt;&gt;0,$P36&lt;=$BL$6),$P$12,IF(AND($L36&lt;&gt;0,$L36&lt;=$BL$6),$L$12,IF(AND($I36&lt;&gt;0,$I36&lt;=$BL$6),$I$12,0)))))*$F36</f>
        <v>0</v>
      </c>
      <c r="BJ36" s="763">
        <f>IF(AND($X36&lt;&gt;0,$X36&lt;=$BL$5),$X$12,IF(AND($T36&lt;&gt;0,$T36&lt;=$BL$5),$T$12,IF(AND($P36&lt;&gt;0,$P36&lt;=$BL$5),$P$12,IF(AND($L36&lt;&gt;0,$L36&lt;=$BL$5),$L$12,IF(AND($I36&lt;&gt;0,$I36&lt;=$BL$5),$I$12,0)))))*$F36</f>
        <v>0</v>
      </c>
      <c r="BL36" s="694"/>
      <c r="BM36" s="696">
        <v>0</v>
      </c>
      <c r="BN36" s="696">
        <f>IF(AND($W36&lt;&gt;0,$W36&lt;=BN$12),$W$12*$F36,IF(AND($S36&lt;&gt;0,$S36&lt;=BN$12),$S$12*$F36,IF(AND($O36&lt;&gt;0,$O36&lt;=BN$12),$O$12*$F36,IF(AND($K36&lt;&gt;0,$K36&lt;=BN$12),$K$12*$F36,IF(AND($H36&lt;&gt;0,$H36&lt;=BN$12),$H$12*$F36,0)))))</f>
        <v>0</v>
      </c>
      <c r="BO36" s="696">
        <f t="shared" ref="BO36:CG36" si="111">IF(AND($W36&lt;&gt;0,$W36&lt;=BO$12),$W$12*$F36,IF(AND($S36&lt;&gt;0,$S36&lt;=BO$12),$S$12*$F36,IF(AND($O36&lt;&gt;0,$O36&lt;=BO$12),$O$12*$F36,IF(AND($K36&lt;&gt;0,$K36&lt;=BO$12),$K$12*$F36,IF(AND($H36&lt;&gt;0,$H36&lt;=BO$12),$H$12*$F36,0)))))</f>
        <v>0</v>
      </c>
      <c r="BP36" s="696">
        <f t="shared" si="111"/>
        <v>0</v>
      </c>
      <c r="BQ36" s="696">
        <f t="shared" si="111"/>
        <v>0</v>
      </c>
      <c r="BR36" s="696">
        <f t="shared" si="111"/>
        <v>0</v>
      </c>
      <c r="BS36" s="696">
        <f t="shared" si="111"/>
        <v>0</v>
      </c>
      <c r="BT36" s="696">
        <f t="shared" si="111"/>
        <v>0</v>
      </c>
      <c r="BU36" s="696">
        <f t="shared" si="111"/>
        <v>0</v>
      </c>
      <c r="BV36" s="696">
        <f t="shared" si="111"/>
        <v>0</v>
      </c>
      <c r="BW36" s="696">
        <f t="shared" si="111"/>
        <v>0</v>
      </c>
      <c r="BX36" s="696">
        <f t="shared" si="111"/>
        <v>0</v>
      </c>
      <c r="BY36" s="696">
        <f t="shared" si="111"/>
        <v>4.6699999999999997E-3</v>
      </c>
      <c r="BZ36" s="696">
        <f t="shared" si="111"/>
        <v>2.3349999999999999E-2</v>
      </c>
      <c r="CA36" s="696">
        <f t="shared" si="111"/>
        <v>2.3349999999999999E-2</v>
      </c>
      <c r="CB36" s="696">
        <f t="shared" si="111"/>
        <v>4.6699999999999998E-2</v>
      </c>
      <c r="CC36" s="696">
        <f t="shared" si="111"/>
        <v>7.0050000000000001E-2</v>
      </c>
      <c r="CD36" s="696">
        <f t="shared" si="111"/>
        <v>9.3399999999999997E-2</v>
      </c>
      <c r="CE36" s="696">
        <f t="shared" si="111"/>
        <v>9.3399999999999997E-2</v>
      </c>
      <c r="CF36" s="696">
        <f t="shared" si="111"/>
        <v>9.3399999999999997E-2</v>
      </c>
      <c r="CG36" s="696">
        <f t="shared" si="111"/>
        <v>9.3399999999999997E-2</v>
      </c>
      <c r="CH36" s="696">
        <f>IF(AND($W36&lt;&gt;0,$W36&lt;=CH$12),$W$12*$F36,IF(AND($S36&lt;&gt;0,$S36&lt;=CH$12),$S$12*$F36,IF(AND($O36&lt;&gt;0,$O36&lt;=CH$12),$O$12*$F36,IF(AND($K36&lt;&gt;0,$K36&lt;=CH$12),$K$12*$F36,IF(AND($H36&lt;&gt;0,$H36&lt;=CH$12),$H$12*$F36,0)))))</f>
        <v>9.3399999999999997E-2</v>
      </c>
      <c r="CI36" s="689"/>
      <c r="CK36" s="694"/>
      <c r="CL36" s="696">
        <v>0</v>
      </c>
      <c r="CM36" s="696">
        <f>IF(AND($X36&lt;&gt;0,$X36&lt;=CM$12),$X$12*$F36,IF(AND($T36&lt;&gt;0,$T36&lt;=CM$12),$T$12*$F36,IF(AND($P36&lt;&gt;0,$P36&lt;=CM$12),$P$12*$F36,IF(AND($L36&lt;&gt;0,$L36&lt;=CM$12),$L$12*$F36,IF(AND($I36&lt;&gt;0,$I36&lt;=CM$12),$I$12*$F36,0)))))</f>
        <v>0</v>
      </c>
      <c r="CN36" s="696">
        <f t="shared" si="110"/>
        <v>0</v>
      </c>
      <c r="CO36" s="696">
        <f t="shared" si="110"/>
        <v>0</v>
      </c>
      <c r="CP36" s="696">
        <f t="shared" si="110"/>
        <v>0</v>
      </c>
      <c r="CQ36" s="696">
        <f t="shared" si="110"/>
        <v>0</v>
      </c>
      <c r="CR36" s="696">
        <f t="shared" si="110"/>
        <v>0</v>
      </c>
      <c r="CS36" s="696">
        <f t="shared" si="110"/>
        <v>0</v>
      </c>
      <c r="CT36" s="696">
        <f t="shared" si="110"/>
        <v>0</v>
      </c>
      <c r="CU36" s="696">
        <f t="shared" si="110"/>
        <v>0</v>
      </c>
      <c r="CV36" s="696">
        <f t="shared" si="110"/>
        <v>0</v>
      </c>
      <c r="CW36" s="696">
        <f t="shared" si="110"/>
        <v>0</v>
      </c>
      <c r="CX36" s="696">
        <f t="shared" si="110"/>
        <v>0</v>
      </c>
      <c r="CY36" s="696">
        <f t="shared" si="110"/>
        <v>0</v>
      </c>
      <c r="CZ36" s="696">
        <f t="shared" si="110"/>
        <v>0</v>
      </c>
      <c r="DA36" s="696">
        <f t="shared" si="110"/>
        <v>0</v>
      </c>
      <c r="DB36" s="696">
        <f t="shared" si="110"/>
        <v>0</v>
      </c>
      <c r="DC36" s="696">
        <f t="shared" si="110"/>
        <v>0</v>
      </c>
      <c r="DD36" s="696">
        <f t="shared" si="110"/>
        <v>0</v>
      </c>
      <c r="DE36" s="696">
        <f t="shared" si="110"/>
        <v>0</v>
      </c>
      <c r="DF36" s="696">
        <f t="shared" si="110"/>
        <v>0</v>
      </c>
      <c r="DG36" s="696">
        <f t="shared" si="110"/>
        <v>0</v>
      </c>
      <c r="DH36" s="689"/>
      <c r="DK36" s="694"/>
      <c r="DL36" s="696">
        <v>0</v>
      </c>
      <c r="DM36" s="696">
        <f>IF(AND($Y36&lt;&gt;0,$Y36&lt;=DM$12),$Y$12*$F36,IF(AND($U36&lt;&gt;0,$U36&lt;=DM$12),$U$12*$F36,IF(AND($Q36&lt;&gt;0,$Q36&lt;=DM$12),$Q$12*$F36,IF(AND($M36&lt;&gt;0,$M36&lt;=DM$12),$M$12*$F36,IF(AND($J36&lt;&gt;0,$J36&lt;=DM$12),$J$12*$F36,0)))))</f>
        <v>0</v>
      </c>
      <c r="DN36" s="696">
        <f t="shared" si="94"/>
        <v>0</v>
      </c>
      <c r="DO36" s="696">
        <f t="shared" si="94"/>
        <v>0</v>
      </c>
      <c r="DP36" s="696">
        <f t="shared" si="94"/>
        <v>0</v>
      </c>
      <c r="DQ36" s="696">
        <f t="shared" si="94"/>
        <v>0</v>
      </c>
      <c r="DR36" s="696">
        <f t="shared" si="94"/>
        <v>0</v>
      </c>
      <c r="DS36" s="696">
        <f t="shared" si="94"/>
        <v>0</v>
      </c>
      <c r="DT36" s="696">
        <f t="shared" si="94"/>
        <v>0</v>
      </c>
      <c r="DU36" s="696">
        <f t="shared" si="94"/>
        <v>0</v>
      </c>
      <c r="DV36" s="696">
        <f t="shared" si="94"/>
        <v>4.6699999999999997E-3</v>
      </c>
      <c r="DW36" s="696">
        <f t="shared" si="94"/>
        <v>2.3349999999999999E-2</v>
      </c>
      <c r="DX36" s="696">
        <f>IF(AND($Y36&lt;&gt;0,$Y36&lt;=DX$12),$Y$12*$F36,IF(AND($U36&lt;&gt;0,$U36&lt;=DX$12),$U$12*$F36,IF(AND($Q36&lt;&gt;0,$Q36&lt;=DX$12),$Q$12*$F36,IF(AND($M36&lt;&gt;0,$M36&lt;=DX$12),$M$12*$F36,IF(AND($J36&lt;&gt;0,$J36&lt;=DX$12),$J$12*$F36,0)))))</f>
        <v>2.3349999999999999E-2</v>
      </c>
      <c r="DY36" s="696">
        <f t="shared" si="94"/>
        <v>4.6699999999999998E-2</v>
      </c>
      <c r="DZ36" s="696">
        <f t="shared" si="94"/>
        <v>4.6699999999999998E-2</v>
      </c>
      <c r="EA36" s="696">
        <f t="shared" si="94"/>
        <v>4.6699999999999998E-2</v>
      </c>
      <c r="EB36" s="696">
        <f t="shared" si="94"/>
        <v>4.6699999999999998E-2</v>
      </c>
      <c r="EC36" s="696">
        <f t="shared" si="94"/>
        <v>4.6699999999999998E-2</v>
      </c>
      <c r="ED36" s="696">
        <f t="shared" si="94"/>
        <v>4.6699999999999998E-2</v>
      </c>
      <c r="EE36" s="696">
        <f t="shared" si="94"/>
        <v>4.6699999999999998E-2</v>
      </c>
      <c r="EF36" s="696">
        <f t="shared" si="94"/>
        <v>4.6699999999999998E-2</v>
      </c>
      <c r="EG36" s="696">
        <f t="shared" si="94"/>
        <v>4.6699999999999998E-2</v>
      </c>
      <c r="EH36" s="700"/>
    </row>
    <row r="37" spans="1:138" ht="14" thickBot="1">
      <c r="A37" s="681"/>
      <c r="E37" s="644"/>
      <c r="F37" s="553"/>
      <c r="K37" s="644"/>
      <c r="AB37" s="644"/>
      <c r="AC37" s="644"/>
      <c r="AD37" s="644"/>
      <c r="AE37" s="728"/>
      <c r="AG37" s="727"/>
      <c r="AH37" s="644"/>
      <c r="AI37" s="644"/>
      <c r="AJ37" s="644"/>
      <c r="AK37" s="644"/>
      <c r="AL37" s="644"/>
      <c r="AM37" s="728"/>
      <c r="AN37" s="727"/>
      <c r="AO37" s="644"/>
      <c r="AP37" s="644"/>
      <c r="AQ37" s="728"/>
      <c r="AR37" s="727"/>
      <c r="AS37" s="644"/>
      <c r="AT37" s="644"/>
      <c r="AU37" s="728"/>
      <c r="BD37" s="727"/>
      <c r="BE37" s="727"/>
      <c r="BF37" s="728"/>
      <c r="BG37" s="727"/>
      <c r="BH37" s="728"/>
      <c r="BI37" s="644"/>
      <c r="BJ37" s="728"/>
    </row>
    <row r="38" spans="1:138" ht="15" thickTop="1" thickBot="1">
      <c r="A38" s="645"/>
      <c r="B38" s="646"/>
      <c r="C38" s="647"/>
      <c r="D38" s="648" t="s">
        <v>1</v>
      </c>
      <c r="E38" s="649"/>
      <c r="F38" s="650"/>
      <c r="G38" s="650"/>
      <c r="H38" s="651"/>
      <c r="I38" s="652"/>
      <c r="J38" s="651"/>
      <c r="K38" s="653"/>
      <c r="L38" s="652"/>
      <c r="M38" s="651"/>
      <c r="N38" s="651"/>
      <c r="O38" s="651"/>
      <c r="P38" s="652"/>
      <c r="Q38" s="651"/>
      <c r="R38" s="652"/>
      <c r="S38" s="651"/>
      <c r="T38" s="652"/>
      <c r="U38" s="651"/>
      <c r="V38" s="652"/>
      <c r="W38" s="651"/>
      <c r="X38" s="652"/>
      <c r="Y38" s="651"/>
      <c r="Z38" s="650"/>
      <c r="AA38" s="650"/>
      <c r="AB38" s="654"/>
      <c r="AC38" s="654"/>
      <c r="AD38" s="654"/>
      <c r="AE38" s="655">
        <f>SUM(AE16:AE37)</f>
        <v>0.86670000000000003</v>
      </c>
      <c r="AG38" s="734">
        <f>BE38</f>
        <v>0.83160000000000012</v>
      </c>
      <c r="AH38" s="735">
        <f>AI38-AG38</f>
        <v>3.5099999999999909E-2</v>
      </c>
      <c r="AI38" s="735">
        <f>BF38</f>
        <v>0.86670000000000003</v>
      </c>
      <c r="AJ38" s="735">
        <f>BH38</f>
        <v>0.85975000000000013</v>
      </c>
      <c r="AK38" s="735">
        <f>BJ38</f>
        <v>3.09E-2</v>
      </c>
      <c r="AL38" s="735">
        <f>AI38-AJ38</f>
        <v>6.9499999999999007E-3</v>
      </c>
      <c r="AM38" s="736">
        <f>AI38-AK38</f>
        <v>0.83579999999999999</v>
      </c>
      <c r="AN38" s="734">
        <f>BF38</f>
        <v>0.86670000000000003</v>
      </c>
      <c r="AO38" s="735">
        <f>BH38</f>
        <v>0.85975000000000013</v>
      </c>
      <c r="AP38" s="735">
        <f>BJ38</f>
        <v>3.09E-2</v>
      </c>
      <c r="AQ38" s="736">
        <f>AN38-AO38</f>
        <v>6.9499999999999007E-3</v>
      </c>
      <c r="AR38" s="694"/>
      <c r="AS38" s="688"/>
      <c r="AT38" s="688"/>
      <c r="AU38" s="689"/>
      <c r="BD38" s="765"/>
      <c r="BE38" s="770">
        <f>BE15</f>
        <v>0.83160000000000012</v>
      </c>
      <c r="BF38" s="737">
        <f t="shared" ref="BF38:BJ38" si="112">BF15</f>
        <v>0.86670000000000003</v>
      </c>
      <c r="BG38" s="771">
        <f t="shared" si="112"/>
        <v>0.75414499999999995</v>
      </c>
      <c r="BH38" s="737">
        <f t="shared" si="112"/>
        <v>0.85975000000000013</v>
      </c>
      <c r="BI38" s="712">
        <f t="shared" si="112"/>
        <v>3.09E-2</v>
      </c>
      <c r="BJ38" s="737">
        <f t="shared" si="112"/>
        <v>3.09E-2</v>
      </c>
    </row>
    <row r="40" spans="1:138">
      <c r="BL40" s="702" t="s">
        <v>78</v>
      </c>
      <c r="CK40" s="702" t="s">
        <v>78</v>
      </c>
      <c r="DK40" s="702" t="s">
        <v>78</v>
      </c>
    </row>
    <row r="41" spans="1:138">
      <c r="BL41" s="702">
        <v>1</v>
      </c>
      <c r="BM41" s="703">
        <f>BM16</f>
        <v>0</v>
      </c>
      <c r="BN41" s="703">
        <f t="shared" ref="BN41:CH41" si="113">BN16</f>
        <v>4.6350000000000002E-2</v>
      </c>
      <c r="BO41" s="703">
        <f t="shared" si="113"/>
        <v>6.9525000000000003E-2</v>
      </c>
      <c r="BP41" s="703">
        <f t="shared" si="113"/>
        <v>9.2700000000000005E-2</v>
      </c>
      <c r="BQ41" s="703">
        <f t="shared" si="113"/>
        <v>9.2700000000000005E-2</v>
      </c>
      <c r="BR41" s="703">
        <f t="shared" si="113"/>
        <v>9.2700000000000005E-2</v>
      </c>
      <c r="BS41" s="703">
        <f t="shared" si="113"/>
        <v>9.2700000000000005E-2</v>
      </c>
      <c r="BT41" s="703">
        <f t="shared" si="113"/>
        <v>9.2700000000000005E-2</v>
      </c>
      <c r="BU41" s="703">
        <f t="shared" si="113"/>
        <v>9.2700000000000005E-2</v>
      </c>
      <c r="BV41" s="703">
        <f t="shared" si="113"/>
        <v>9.2700000000000005E-2</v>
      </c>
      <c r="BW41" s="703">
        <f t="shared" si="113"/>
        <v>9.2700000000000005E-2</v>
      </c>
      <c r="BX41" s="703">
        <f t="shared" si="113"/>
        <v>9.2700000000000005E-2</v>
      </c>
      <c r="BY41" s="703">
        <f t="shared" si="113"/>
        <v>9.2700000000000005E-2</v>
      </c>
      <c r="BZ41" s="703">
        <f t="shared" si="113"/>
        <v>9.2700000000000005E-2</v>
      </c>
      <c r="CA41" s="703">
        <f t="shared" si="113"/>
        <v>9.2700000000000005E-2</v>
      </c>
      <c r="CB41" s="703">
        <f t="shared" si="113"/>
        <v>9.2700000000000005E-2</v>
      </c>
      <c r="CC41" s="703">
        <f t="shared" si="113"/>
        <v>9.2700000000000005E-2</v>
      </c>
      <c r="CD41" s="703">
        <f t="shared" si="113"/>
        <v>9.2700000000000005E-2</v>
      </c>
      <c r="CE41" s="703">
        <f t="shared" si="113"/>
        <v>9.2700000000000005E-2</v>
      </c>
      <c r="CF41" s="703">
        <f t="shared" si="113"/>
        <v>9.2700000000000005E-2</v>
      </c>
      <c r="CG41" s="703">
        <f t="shared" si="113"/>
        <v>9.2700000000000005E-2</v>
      </c>
      <c r="CH41" s="703">
        <f t="shared" si="113"/>
        <v>9.2700000000000005E-2</v>
      </c>
      <c r="CK41" s="702">
        <v>1</v>
      </c>
      <c r="CL41" s="703">
        <f>CL16</f>
        <v>0</v>
      </c>
      <c r="CM41" s="703">
        <f t="shared" ref="CM41:DG41" si="114">CM16</f>
        <v>0</v>
      </c>
      <c r="CN41" s="703">
        <f t="shared" si="114"/>
        <v>0</v>
      </c>
      <c r="CO41" s="703">
        <f t="shared" si="114"/>
        <v>0</v>
      </c>
      <c r="CP41" s="703">
        <f t="shared" si="114"/>
        <v>0</v>
      </c>
      <c r="CQ41" s="703">
        <f t="shared" si="114"/>
        <v>0</v>
      </c>
      <c r="CR41" s="703">
        <f t="shared" si="114"/>
        <v>0</v>
      </c>
      <c r="CS41" s="703">
        <f t="shared" si="114"/>
        <v>0</v>
      </c>
      <c r="CT41" s="703">
        <f t="shared" si="114"/>
        <v>0</v>
      </c>
      <c r="CU41" s="703">
        <f t="shared" si="114"/>
        <v>0</v>
      </c>
      <c r="CV41" s="703">
        <f t="shared" si="114"/>
        <v>0</v>
      </c>
      <c r="CW41" s="703">
        <f t="shared" si="114"/>
        <v>0</v>
      </c>
      <c r="CX41" s="703">
        <f t="shared" si="114"/>
        <v>0</v>
      </c>
      <c r="CY41" s="703">
        <f t="shared" si="114"/>
        <v>0</v>
      </c>
      <c r="CZ41" s="703">
        <f t="shared" si="114"/>
        <v>0</v>
      </c>
      <c r="DA41" s="703">
        <f t="shared" si="114"/>
        <v>0</v>
      </c>
      <c r="DB41" s="703">
        <f t="shared" si="114"/>
        <v>0</v>
      </c>
      <c r="DC41" s="703">
        <f t="shared" si="114"/>
        <v>0</v>
      </c>
      <c r="DD41" s="703">
        <f t="shared" si="114"/>
        <v>0</v>
      </c>
      <c r="DE41" s="703">
        <f t="shared" si="114"/>
        <v>0</v>
      </c>
      <c r="DF41" s="703">
        <f t="shared" si="114"/>
        <v>0</v>
      </c>
      <c r="DG41" s="703">
        <f t="shared" si="114"/>
        <v>0</v>
      </c>
      <c r="DK41" s="702">
        <v>1</v>
      </c>
      <c r="DL41" s="703">
        <f>DL16</f>
        <v>0</v>
      </c>
      <c r="DM41" s="703">
        <f>DM16</f>
        <v>6.9525000000000003E-2</v>
      </c>
      <c r="DN41" s="703">
        <f t="shared" ref="DN41:EG41" si="115">DN16</f>
        <v>9.2700000000000005E-2</v>
      </c>
      <c r="DO41" s="703">
        <f t="shared" si="115"/>
        <v>9.2700000000000005E-2</v>
      </c>
      <c r="DP41" s="703">
        <f t="shared" si="115"/>
        <v>9.2700000000000005E-2</v>
      </c>
      <c r="DQ41" s="703">
        <f t="shared" si="115"/>
        <v>9.2700000000000005E-2</v>
      </c>
      <c r="DR41" s="703">
        <f t="shared" si="115"/>
        <v>9.2700000000000005E-2</v>
      </c>
      <c r="DS41" s="703">
        <f t="shared" si="115"/>
        <v>9.2700000000000005E-2</v>
      </c>
      <c r="DT41" s="703">
        <f t="shared" si="115"/>
        <v>9.2700000000000005E-2</v>
      </c>
      <c r="DU41" s="703">
        <f t="shared" si="115"/>
        <v>9.2700000000000005E-2</v>
      </c>
      <c r="DV41" s="703">
        <f t="shared" si="115"/>
        <v>9.2700000000000005E-2</v>
      </c>
      <c r="DW41" s="703">
        <f t="shared" si="115"/>
        <v>9.2700000000000005E-2</v>
      </c>
      <c r="DX41" s="703">
        <f t="shared" si="115"/>
        <v>9.2700000000000005E-2</v>
      </c>
      <c r="DY41" s="703">
        <f t="shared" si="115"/>
        <v>9.2700000000000005E-2</v>
      </c>
      <c r="DZ41" s="703">
        <f t="shared" si="115"/>
        <v>9.2700000000000005E-2</v>
      </c>
      <c r="EA41" s="703">
        <f t="shared" si="115"/>
        <v>9.2700000000000005E-2</v>
      </c>
      <c r="EB41" s="703">
        <f t="shared" si="115"/>
        <v>9.2700000000000005E-2</v>
      </c>
      <c r="EC41" s="703">
        <f t="shared" si="115"/>
        <v>9.2700000000000005E-2</v>
      </c>
      <c r="ED41" s="703">
        <f t="shared" si="115"/>
        <v>9.2700000000000005E-2</v>
      </c>
      <c r="EE41" s="703">
        <f t="shared" si="115"/>
        <v>9.2700000000000005E-2</v>
      </c>
      <c r="EF41" s="703">
        <f t="shared" si="115"/>
        <v>9.2700000000000005E-2</v>
      </c>
      <c r="EG41" s="703">
        <f t="shared" si="115"/>
        <v>9.2700000000000005E-2</v>
      </c>
    </row>
    <row r="42" spans="1:138">
      <c r="BL42" s="702">
        <v>2</v>
      </c>
      <c r="BM42" s="703">
        <f>BM19</f>
        <v>0</v>
      </c>
      <c r="BN42" s="703">
        <f t="shared" ref="BN42:CH42" si="116">BN19</f>
        <v>0</v>
      </c>
      <c r="BO42" s="703">
        <f t="shared" si="116"/>
        <v>0</v>
      </c>
      <c r="BP42" s="703">
        <f t="shared" si="116"/>
        <v>0</v>
      </c>
      <c r="BQ42" s="703">
        <f t="shared" si="116"/>
        <v>0</v>
      </c>
      <c r="BR42" s="703">
        <f t="shared" si="116"/>
        <v>0</v>
      </c>
      <c r="BS42" s="703">
        <f t="shared" si="116"/>
        <v>2.575E-3</v>
      </c>
      <c r="BT42" s="703">
        <f t="shared" si="116"/>
        <v>2.5749999999999999E-2</v>
      </c>
      <c r="BU42" s="703">
        <f t="shared" si="116"/>
        <v>5.1499999999999997E-2</v>
      </c>
      <c r="BV42" s="703">
        <f t="shared" si="116"/>
        <v>5.1499999999999997E-2</v>
      </c>
      <c r="BW42" s="703">
        <f t="shared" si="116"/>
        <v>5.1499999999999997E-2</v>
      </c>
      <c r="BX42" s="703">
        <f t="shared" si="116"/>
        <v>5.1499999999999997E-2</v>
      </c>
      <c r="BY42" s="703">
        <f t="shared" si="116"/>
        <v>5.1499999999999997E-2</v>
      </c>
      <c r="BZ42" s="703">
        <f t="shared" si="116"/>
        <v>5.1499999999999997E-2</v>
      </c>
      <c r="CA42" s="703">
        <f t="shared" si="116"/>
        <v>5.1499999999999997E-2</v>
      </c>
      <c r="CB42" s="703">
        <f t="shared" si="116"/>
        <v>5.1499999999999997E-2</v>
      </c>
      <c r="CC42" s="703">
        <f t="shared" si="116"/>
        <v>5.1499999999999997E-2</v>
      </c>
      <c r="CD42" s="703">
        <f t="shared" si="116"/>
        <v>5.1499999999999997E-2</v>
      </c>
      <c r="CE42" s="703">
        <f t="shared" si="116"/>
        <v>5.1499999999999997E-2</v>
      </c>
      <c r="CF42" s="703">
        <f t="shared" si="116"/>
        <v>5.1499999999999997E-2</v>
      </c>
      <c r="CG42" s="703">
        <f t="shared" si="116"/>
        <v>5.1499999999999997E-2</v>
      </c>
      <c r="CH42" s="703">
        <f t="shared" si="116"/>
        <v>5.1499999999999997E-2</v>
      </c>
      <c r="CK42" s="702">
        <v>2</v>
      </c>
      <c r="CL42" s="703">
        <f>CL19</f>
        <v>0</v>
      </c>
      <c r="CM42" s="703">
        <f t="shared" ref="CM42:DG42" si="117">CM19</f>
        <v>0</v>
      </c>
      <c r="CN42" s="703">
        <f t="shared" si="117"/>
        <v>0</v>
      </c>
      <c r="CO42" s="703">
        <f t="shared" si="117"/>
        <v>0</v>
      </c>
      <c r="CP42" s="703">
        <f t="shared" si="117"/>
        <v>0</v>
      </c>
      <c r="CQ42" s="703">
        <f t="shared" si="117"/>
        <v>0</v>
      </c>
      <c r="CR42" s="703">
        <f t="shared" si="117"/>
        <v>0</v>
      </c>
      <c r="CS42" s="703">
        <f t="shared" si="117"/>
        <v>0</v>
      </c>
      <c r="CT42" s="703">
        <f t="shared" si="117"/>
        <v>0</v>
      </c>
      <c r="CU42" s="703">
        <f t="shared" si="117"/>
        <v>0</v>
      </c>
      <c r="CV42" s="703">
        <f t="shared" si="117"/>
        <v>0</v>
      </c>
      <c r="CW42" s="703">
        <f t="shared" si="117"/>
        <v>0</v>
      </c>
      <c r="CX42" s="703">
        <f t="shared" si="117"/>
        <v>0</v>
      </c>
      <c r="CY42" s="703">
        <f t="shared" si="117"/>
        <v>0</v>
      </c>
      <c r="CZ42" s="703">
        <f t="shared" si="117"/>
        <v>3.8625E-2</v>
      </c>
      <c r="DA42" s="703">
        <f t="shared" si="117"/>
        <v>3.8625E-2</v>
      </c>
      <c r="DB42" s="703">
        <f t="shared" si="117"/>
        <v>3.8625E-2</v>
      </c>
      <c r="DC42" s="703">
        <f t="shared" si="117"/>
        <v>3.8625E-2</v>
      </c>
      <c r="DD42" s="703">
        <f t="shared" si="117"/>
        <v>3.8625E-2</v>
      </c>
      <c r="DE42" s="703">
        <f t="shared" si="117"/>
        <v>3.8625E-2</v>
      </c>
      <c r="DF42" s="703">
        <f t="shared" si="117"/>
        <v>3.8625E-2</v>
      </c>
      <c r="DG42" s="703">
        <f t="shared" si="117"/>
        <v>3.8625E-2</v>
      </c>
      <c r="DK42" s="702">
        <v>2</v>
      </c>
      <c r="DL42" s="703">
        <f>DL19</f>
        <v>0</v>
      </c>
      <c r="DM42" s="703">
        <f t="shared" ref="DM42:EG42" si="118">DM19</f>
        <v>0</v>
      </c>
      <c r="DN42" s="703">
        <f t="shared" si="118"/>
        <v>0</v>
      </c>
      <c r="DO42" s="703">
        <f t="shared" si="118"/>
        <v>0</v>
      </c>
      <c r="DP42" s="703">
        <f t="shared" si="118"/>
        <v>0</v>
      </c>
      <c r="DQ42" s="703">
        <f t="shared" si="118"/>
        <v>0</v>
      </c>
      <c r="DR42" s="703">
        <f t="shared" si="118"/>
        <v>0</v>
      </c>
      <c r="DS42" s="703">
        <f t="shared" si="118"/>
        <v>0</v>
      </c>
      <c r="DT42" s="703">
        <f t="shared" si="118"/>
        <v>0</v>
      </c>
      <c r="DU42" s="703">
        <f t="shared" si="118"/>
        <v>0</v>
      </c>
      <c r="DV42" s="703">
        <f t="shared" si="118"/>
        <v>0</v>
      </c>
      <c r="DW42" s="703">
        <f t="shared" si="118"/>
        <v>0</v>
      </c>
      <c r="DX42" s="703">
        <f t="shared" si="118"/>
        <v>0</v>
      </c>
      <c r="DY42" s="703">
        <f t="shared" si="118"/>
        <v>0</v>
      </c>
      <c r="DZ42" s="703">
        <f t="shared" si="118"/>
        <v>0</v>
      </c>
      <c r="EA42" s="703">
        <f t="shared" si="118"/>
        <v>0</v>
      </c>
      <c r="EB42" s="703">
        <f t="shared" si="118"/>
        <v>0</v>
      </c>
      <c r="EC42" s="703">
        <f t="shared" si="118"/>
        <v>0</v>
      </c>
      <c r="ED42" s="703">
        <f t="shared" si="118"/>
        <v>0</v>
      </c>
      <c r="EE42" s="703">
        <f t="shared" si="118"/>
        <v>0</v>
      </c>
      <c r="EF42" s="703">
        <f t="shared" si="118"/>
        <v>0</v>
      </c>
      <c r="EG42" s="703">
        <f t="shared" si="118"/>
        <v>0</v>
      </c>
    </row>
    <row r="43" spans="1:138">
      <c r="A43" s="550" t="s">
        <v>257</v>
      </c>
      <c r="B43" s="550" t="s">
        <v>258</v>
      </c>
      <c r="BL43" s="702">
        <v>3</v>
      </c>
      <c r="BM43" s="703">
        <f>BM21</f>
        <v>0</v>
      </c>
      <c r="BN43" s="703">
        <f t="shared" ref="BN43:CH43" si="119">BN21</f>
        <v>1.0825E-2</v>
      </c>
      <c r="BO43" s="703">
        <f t="shared" si="119"/>
        <v>2.1649999999999999E-2</v>
      </c>
      <c r="BP43" s="703">
        <f t="shared" si="119"/>
        <v>3.2474999999999997E-2</v>
      </c>
      <c r="BQ43" s="703">
        <f t="shared" si="119"/>
        <v>4.8924999999999996E-2</v>
      </c>
      <c r="BR43" s="703">
        <f t="shared" si="119"/>
        <v>7.1425000000000002E-2</v>
      </c>
      <c r="BS43" s="703">
        <f t="shared" si="119"/>
        <v>9.955E-2</v>
      </c>
      <c r="BT43" s="703">
        <f t="shared" si="119"/>
        <v>0.12767500000000001</v>
      </c>
      <c r="BU43" s="703">
        <f t="shared" si="119"/>
        <v>0.15579999999999999</v>
      </c>
      <c r="BV43" s="703">
        <f t="shared" si="119"/>
        <v>0.15667499999999998</v>
      </c>
      <c r="BW43" s="703">
        <f t="shared" si="119"/>
        <v>0.16017499999999998</v>
      </c>
      <c r="BX43" s="703">
        <f t="shared" si="119"/>
        <v>0.16455</v>
      </c>
      <c r="BY43" s="703">
        <f t="shared" si="119"/>
        <v>0.16892499999999999</v>
      </c>
      <c r="BZ43" s="703">
        <f t="shared" si="119"/>
        <v>0.17330000000000001</v>
      </c>
      <c r="CA43" s="703">
        <f t="shared" si="119"/>
        <v>0.17330000000000001</v>
      </c>
      <c r="CB43" s="703">
        <f t="shared" si="119"/>
        <v>0.17330000000000001</v>
      </c>
      <c r="CC43" s="703">
        <f t="shared" si="119"/>
        <v>0.17330000000000001</v>
      </c>
      <c r="CD43" s="703">
        <f t="shared" si="119"/>
        <v>0.17330000000000001</v>
      </c>
      <c r="CE43" s="703">
        <f t="shared" si="119"/>
        <v>0.17330000000000001</v>
      </c>
      <c r="CF43" s="703">
        <f t="shared" si="119"/>
        <v>0.17330000000000001</v>
      </c>
      <c r="CG43" s="703">
        <f t="shared" si="119"/>
        <v>0.17330000000000001</v>
      </c>
      <c r="CH43" s="703">
        <f t="shared" si="119"/>
        <v>0.17330000000000001</v>
      </c>
      <c r="CK43" s="702">
        <v>3</v>
      </c>
      <c r="CL43" s="703">
        <f>CL21</f>
        <v>0</v>
      </c>
      <c r="CM43" s="703">
        <f t="shared" ref="CM43:DG43" si="120">CM21</f>
        <v>0</v>
      </c>
      <c r="CN43" s="703">
        <f t="shared" si="120"/>
        <v>0</v>
      </c>
      <c r="CO43" s="703">
        <f t="shared" si="120"/>
        <v>0</v>
      </c>
      <c r="CP43" s="703">
        <f t="shared" si="120"/>
        <v>0</v>
      </c>
      <c r="CQ43" s="703">
        <f t="shared" si="120"/>
        <v>0</v>
      </c>
      <c r="CR43" s="703">
        <f t="shared" si="120"/>
        <v>0</v>
      </c>
      <c r="CS43" s="703">
        <f t="shared" si="120"/>
        <v>0</v>
      </c>
      <c r="CT43" s="703">
        <f t="shared" si="120"/>
        <v>0</v>
      </c>
      <c r="CU43" s="703">
        <f t="shared" si="120"/>
        <v>0</v>
      </c>
      <c r="CV43" s="703">
        <f t="shared" si="120"/>
        <v>0</v>
      </c>
      <c r="CW43" s="703">
        <f t="shared" si="120"/>
        <v>0</v>
      </c>
      <c r="CX43" s="703">
        <f t="shared" si="120"/>
        <v>0</v>
      </c>
      <c r="CY43" s="703">
        <f t="shared" si="120"/>
        <v>0</v>
      </c>
      <c r="CZ43" s="703">
        <f t="shared" si="120"/>
        <v>0</v>
      </c>
      <c r="DA43" s="703">
        <f t="shared" si="120"/>
        <v>0</v>
      </c>
      <c r="DB43" s="703">
        <f t="shared" si="120"/>
        <v>0</v>
      </c>
      <c r="DC43" s="703">
        <f t="shared" si="120"/>
        <v>0</v>
      </c>
      <c r="DD43" s="703">
        <f t="shared" si="120"/>
        <v>0</v>
      </c>
      <c r="DE43" s="703">
        <f t="shared" si="120"/>
        <v>0</v>
      </c>
      <c r="DF43" s="703">
        <f t="shared" si="120"/>
        <v>0</v>
      </c>
      <c r="DG43" s="703">
        <f t="shared" si="120"/>
        <v>0</v>
      </c>
      <c r="DK43" s="702">
        <v>3</v>
      </c>
      <c r="DL43" s="703">
        <f>DL21</f>
        <v>0</v>
      </c>
      <c r="DM43" s="703">
        <f t="shared" ref="DM43:EG43" si="121">DM21</f>
        <v>0.10185</v>
      </c>
      <c r="DN43" s="703">
        <f t="shared" si="121"/>
        <v>0.17330000000000001</v>
      </c>
      <c r="DO43" s="703">
        <f t="shared" si="121"/>
        <v>0.17330000000000001</v>
      </c>
      <c r="DP43" s="703">
        <f t="shared" si="121"/>
        <v>0.17330000000000001</v>
      </c>
      <c r="DQ43" s="703">
        <f t="shared" si="121"/>
        <v>0.17330000000000001</v>
      </c>
      <c r="DR43" s="703">
        <f t="shared" si="121"/>
        <v>0.17330000000000001</v>
      </c>
      <c r="DS43" s="703">
        <f t="shared" si="121"/>
        <v>0.17330000000000001</v>
      </c>
      <c r="DT43" s="703">
        <f t="shared" si="121"/>
        <v>0.17330000000000001</v>
      </c>
      <c r="DU43" s="703">
        <f t="shared" si="121"/>
        <v>0.17330000000000001</v>
      </c>
      <c r="DV43" s="703">
        <f t="shared" si="121"/>
        <v>0.17330000000000001</v>
      </c>
      <c r="DW43" s="703">
        <f t="shared" si="121"/>
        <v>0.17330000000000001</v>
      </c>
      <c r="DX43" s="703">
        <f t="shared" si="121"/>
        <v>0.17330000000000001</v>
      </c>
      <c r="DY43" s="703">
        <f t="shared" si="121"/>
        <v>0.17330000000000001</v>
      </c>
      <c r="DZ43" s="703">
        <f t="shared" si="121"/>
        <v>0.17330000000000001</v>
      </c>
      <c r="EA43" s="703">
        <f t="shared" si="121"/>
        <v>0.17330000000000001</v>
      </c>
      <c r="EB43" s="703">
        <f t="shared" si="121"/>
        <v>0.17330000000000001</v>
      </c>
      <c r="EC43" s="703">
        <f t="shared" si="121"/>
        <v>0.17330000000000001</v>
      </c>
      <c r="ED43" s="703">
        <f t="shared" si="121"/>
        <v>0.17330000000000001</v>
      </c>
      <c r="EE43" s="703">
        <f t="shared" si="121"/>
        <v>0.17330000000000001</v>
      </c>
      <c r="EF43" s="703">
        <f t="shared" si="121"/>
        <v>0.17330000000000001</v>
      </c>
      <c r="EG43" s="703">
        <f t="shared" si="121"/>
        <v>0.17330000000000001</v>
      </c>
    </row>
    <row r="44" spans="1:138">
      <c r="A44" s="550" t="s">
        <v>259</v>
      </c>
      <c r="B44" s="550" t="s">
        <v>260</v>
      </c>
      <c r="BL44" s="702">
        <v>4</v>
      </c>
      <c r="BM44" s="703">
        <f>BM25</f>
        <v>0</v>
      </c>
      <c r="BN44" s="703">
        <f t="shared" ref="BN44:CH44" si="122">BN25</f>
        <v>0</v>
      </c>
      <c r="BO44" s="703">
        <f t="shared" si="122"/>
        <v>0</v>
      </c>
      <c r="BP44" s="703">
        <f t="shared" si="122"/>
        <v>0</v>
      </c>
      <c r="BQ44" s="703">
        <f t="shared" si="122"/>
        <v>7.3850000000000009E-3</v>
      </c>
      <c r="BR44" s="703">
        <f t="shared" si="122"/>
        <v>1.8384999999999999E-2</v>
      </c>
      <c r="BS44" s="703">
        <f t="shared" si="122"/>
        <v>5.0674999999999998E-2</v>
      </c>
      <c r="BT44" s="703">
        <f t="shared" si="122"/>
        <v>8.7600000000000011E-2</v>
      </c>
      <c r="BU44" s="703">
        <f t="shared" si="122"/>
        <v>0.10135</v>
      </c>
      <c r="BV44" s="703">
        <f t="shared" si="122"/>
        <v>0.13394999999999999</v>
      </c>
      <c r="BW44" s="703">
        <f t="shared" si="122"/>
        <v>0.18540000000000001</v>
      </c>
      <c r="BX44" s="703">
        <f t="shared" si="122"/>
        <v>0.18540000000000001</v>
      </c>
      <c r="BY44" s="703">
        <f t="shared" si="122"/>
        <v>0.18540000000000001</v>
      </c>
      <c r="BZ44" s="703">
        <f t="shared" si="122"/>
        <v>0.18540000000000001</v>
      </c>
      <c r="CA44" s="703">
        <f t="shared" si="122"/>
        <v>0.18540000000000001</v>
      </c>
      <c r="CB44" s="703">
        <f t="shared" si="122"/>
        <v>0.18540000000000001</v>
      </c>
      <c r="CC44" s="703">
        <f t="shared" si="122"/>
        <v>0.18540000000000001</v>
      </c>
      <c r="CD44" s="703">
        <f t="shared" si="122"/>
        <v>0.18540000000000001</v>
      </c>
      <c r="CE44" s="703">
        <f t="shared" si="122"/>
        <v>0.18540000000000001</v>
      </c>
      <c r="CF44" s="703">
        <f t="shared" si="122"/>
        <v>0.18540000000000001</v>
      </c>
      <c r="CG44" s="703">
        <f t="shared" si="122"/>
        <v>0.18540000000000001</v>
      </c>
      <c r="CH44" s="703">
        <f t="shared" si="122"/>
        <v>0.18540000000000001</v>
      </c>
      <c r="CK44" s="702">
        <v>4</v>
      </c>
      <c r="CL44" s="703">
        <f>CL25</f>
        <v>0</v>
      </c>
      <c r="CM44" s="703">
        <f t="shared" ref="CM44:DG44" si="123">CM25</f>
        <v>0</v>
      </c>
      <c r="CN44" s="703">
        <f t="shared" si="123"/>
        <v>0</v>
      </c>
      <c r="CO44" s="703">
        <f t="shared" si="123"/>
        <v>0</v>
      </c>
      <c r="CP44" s="703">
        <f t="shared" si="123"/>
        <v>0</v>
      </c>
      <c r="CQ44" s="703">
        <f t="shared" si="123"/>
        <v>0</v>
      </c>
      <c r="CR44" s="703">
        <f t="shared" si="123"/>
        <v>0</v>
      </c>
      <c r="CS44" s="703">
        <f t="shared" si="123"/>
        <v>0</v>
      </c>
      <c r="CT44" s="703">
        <f t="shared" si="123"/>
        <v>0</v>
      </c>
      <c r="CU44" s="703">
        <f t="shared" si="123"/>
        <v>0</v>
      </c>
      <c r="CV44" s="703">
        <f t="shared" si="123"/>
        <v>0</v>
      </c>
      <c r="CW44" s="703">
        <f t="shared" si="123"/>
        <v>0</v>
      </c>
      <c r="CX44" s="703">
        <f t="shared" si="123"/>
        <v>0</v>
      </c>
      <c r="CY44" s="703">
        <f t="shared" si="123"/>
        <v>0</v>
      </c>
      <c r="CZ44" s="703">
        <f t="shared" si="123"/>
        <v>0</v>
      </c>
      <c r="DA44" s="703">
        <f t="shared" si="123"/>
        <v>0</v>
      </c>
      <c r="DB44" s="703">
        <f t="shared" si="123"/>
        <v>0</v>
      </c>
      <c r="DC44" s="703">
        <f t="shared" si="123"/>
        <v>0</v>
      </c>
      <c r="DD44" s="703">
        <f t="shared" si="123"/>
        <v>0</v>
      </c>
      <c r="DE44" s="703">
        <f t="shared" si="123"/>
        <v>0</v>
      </c>
      <c r="DF44" s="703">
        <f t="shared" si="123"/>
        <v>0</v>
      </c>
      <c r="DG44" s="703">
        <f t="shared" si="123"/>
        <v>0</v>
      </c>
      <c r="DK44" s="702">
        <v>4</v>
      </c>
      <c r="DL44" s="703">
        <f>DL25</f>
        <v>0</v>
      </c>
      <c r="DM44" s="703">
        <f t="shared" ref="DM44:EG44" si="124">DM25</f>
        <v>4.6350000000000002E-2</v>
      </c>
      <c r="DN44" s="703">
        <f t="shared" si="124"/>
        <v>9.2700000000000005E-2</v>
      </c>
      <c r="DO44" s="703">
        <f t="shared" si="124"/>
        <v>0.10645000000000002</v>
      </c>
      <c r="DP44" s="703">
        <f t="shared" si="124"/>
        <v>0.10645000000000002</v>
      </c>
      <c r="DQ44" s="703">
        <f t="shared" si="124"/>
        <v>0.10645000000000002</v>
      </c>
      <c r="DR44" s="703">
        <f t="shared" si="124"/>
        <v>0.10645000000000002</v>
      </c>
      <c r="DS44" s="703">
        <f t="shared" si="124"/>
        <v>0.11587500000000001</v>
      </c>
      <c r="DT44" s="703">
        <f t="shared" si="124"/>
        <v>0.12962499999999999</v>
      </c>
      <c r="DU44" s="703">
        <f t="shared" si="124"/>
        <v>0.15279999999999999</v>
      </c>
      <c r="DV44" s="703">
        <f t="shared" si="124"/>
        <v>0.18540000000000001</v>
      </c>
      <c r="DW44" s="703">
        <f t="shared" si="124"/>
        <v>0.18540000000000001</v>
      </c>
      <c r="DX44" s="703">
        <f t="shared" si="124"/>
        <v>0.18540000000000001</v>
      </c>
      <c r="DY44" s="703">
        <f t="shared" si="124"/>
        <v>0.18540000000000001</v>
      </c>
      <c r="DZ44" s="703">
        <f t="shared" si="124"/>
        <v>0.18540000000000001</v>
      </c>
      <c r="EA44" s="703">
        <f t="shared" si="124"/>
        <v>0.18540000000000001</v>
      </c>
      <c r="EB44" s="703">
        <f t="shared" si="124"/>
        <v>0.18540000000000001</v>
      </c>
      <c r="EC44" s="703">
        <f t="shared" si="124"/>
        <v>0.18540000000000001</v>
      </c>
      <c r="ED44" s="703">
        <f t="shared" si="124"/>
        <v>0.18540000000000001</v>
      </c>
      <c r="EE44" s="703">
        <f t="shared" si="124"/>
        <v>0.18540000000000001</v>
      </c>
      <c r="EF44" s="703">
        <f t="shared" si="124"/>
        <v>0.18540000000000001</v>
      </c>
      <c r="EG44" s="703">
        <f t="shared" si="124"/>
        <v>0.18540000000000001</v>
      </c>
    </row>
    <row r="45" spans="1:138">
      <c r="A45" s="550" t="s">
        <v>261</v>
      </c>
      <c r="B45" s="550" t="s">
        <v>262</v>
      </c>
      <c r="BL45" s="702">
        <v>5</v>
      </c>
      <c r="BM45" s="703">
        <f>BM29</f>
        <v>0</v>
      </c>
      <c r="BN45" s="703">
        <f t="shared" ref="BN45:CH45" si="125">BN29</f>
        <v>6.1800000000000006E-3</v>
      </c>
      <c r="BO45" s="703">
        <f t="shared" si="125"/>
        <v>9.2700000000000005E-3</v>
      </c>
      <c r="BP45" s="703">
        <f t="shared" si="125"/>
        <v>4.6350000000000002E-2</v>
      </c>
      <c r="BQ45" s="703">
        <f t="shared" si="125"/>
        <v>6.1800000000000001E-2</v>
      </c>
      <c r="BR45" s="703">
        <f t="shared" si="125"/>
        <v>7.7249999999999999E-2</v>
      </c>
      <c r="BS45" s="703">
        <f t="shared" si="125"/>
        <v>0.1236</v>
      </c>
      <c r="BT45" s="703">
        <f t="shared" si="125"/>
        <v>0.1236</v>
      </c>
      <c r="BU45" s="703">
        <f t="shared" si="125"/>
        <v>0.1236</v>
      </c>
      <c r="BV45" s="703">
        <f t="shared" si="125"/>
        <v>0.1236</v>
      </c>
      <c r="BW45" s="703">
        <f t="shared" si="125"/>
        <v>0.1545</v>
      </c>
      <c r="BX45" s="703">
        <f t="shared" si="125"/>
        <v>0.1545</v>
      </c>
      <c r="BY45" s="703">
        <f t="shared" si="125"/>
        <v>0.1545</v>
      </c>
      <c r="BZ45" s="703">
        <f t="shared" si="125"/>
        <v>0.18540000000000001</v>
      </c>
      <c r="CA45" s="703">
        <f t="shared" si="125"/>
        <v>0.18540000000000001</v>
      </c>
      <c r="CB45" s="703">
        <f t="shared" si="125"/>
        <v>0.18540000000000001</v>
      </c>
      <c r="CC45" s="703">
        <f t="shared" si="125"/>
        <v>0.18540000000000001</v>
      </c>
      <c r="CD45" s="703">
        <f t="shared" si="125"/>
        <v>0.18540000000000001</v>
      </c>
      <c r="CE45" s="703">
        <f t="shared" si="125"/>
        <v>0.18540000000000001</v>
      </c>
      <c r="CF45" s="703">
        <f t="shared" si="125"/>
        <v>0.18540000000000001</v>
      </c>
      <c r="CG45" s="703">
        <f t="shared" si="125"/>
        <v>0.18540000000000001</v>
      </c>
      <c r="CH45" s="703">
        <f t="shared" si="125"/>
        <v>0.18540000000000001</v>
      </c>
      <c r="CK45" s="702">
        <v>5</v>
      </c>
      <c r="CL45" s="703">
        <f>CL29</f>
        <v>0</v>
      </c>
      <c r="CM45" s="703">
        <f t="shared" ref="CM45:DG45" si="126">CM29</f>
        <v>0</v>
      </c>
      <c r="CN45" s="703">
        <f t="shared" si="126"/>
        <v>0</v>
      </c>
      <c r="CO45" s="703">
        <f t="shared" si="126"/>
        <v>3.09E-2</v>
      </c>
      <c r="CP45" s="703">
        <f t="shared" si="126"/>
        <v>3.09E-2</v>
      </c>
      <c r="CQ45" s="703">
        <f t="shared" si="126"/>
        <v>3.09E-2</v>
      </c>
      <c r="CR45" s="703">
        <f t="shared" si="126"/>
        <v>3.09E-2</v>
      </c>
      <c r="CS45" s="703">
        <f t="shared" si="126"/>
        <v>3.09E-2</v>
      </c>
      <c r="CT45" s="703">
        <f t="shared" si="126"/>
        <v>3.09E-2</v>
      </c>
      <c r="CU45" s="703">
        <f t="shared" si="126"/>
        <v>3.09E-2</v>
      </c>
      <c r="CV45" s="703">
        <f t="shared" si="126"/>
        <v>3.09E-2</v>
      </c>
      <c r="CW45" s="703">
        <f t="shared" si="126"/>
        <v>3.09E-2</v>
      </c>
      <c r="CX45" s="703">
        <f t="shared" si="126"/>
        <v>3.09E-2</v>
      </c>
      <c r="CY45" s="703">
        <f t="shared" si="126"/>
        <v>3.09E-2</v>
      </c>
      <c r="CZ45" s="703">
        <f t="shared" si="126"/>
        <v>3.09E-2</v>
      </c>
      <c r="DA45" s="703">
        <f t="shared" si="126"/>
        <v>3.09E-2</v>
      </c>
      <c r="DB45" s="703">
        <f t="shared" si="126"/>
        <v>3.09E-2</v>
      </c>
      <c r="DC45" s="703">
        <f t="shared" si="126"/>
        <v>3.09E-2</v>
      </c>
      <c r="DD45" s="703">
        <f t="shared" si="126"/>
        <v>3.09E-2</v>
      </c>
      <c r="DE45" s="703">
        <f t="shared" si="126"/>
        <v>3.09E-2</v>
      </c>
      <c r="DF45" s="703">
        <f t="shared" si="126"/>
        <v>3.09E-2</v>
      </c>
      <c r="DG45" s="703">
        <f t="shared" si="126"/>
        <v>3.09E-2</v>
      </c>
      <c r="DK45" s="702">
        <v>5</v>
      </c>
      <c r="DL45" s="703">
        <f>DL29</f>
        <v>0</v>
      </c>
      <c r="DM45" s="703">
        <f t="shared" ref="DM45:EG45" si="127">DM29</f>
        <v>0</v>
      </c>
      <c r="DN45" s="703">
        <f t="shared" si="127"/>
        <v>3.0900000000000003E-3</v>
      </c>
      <c r="DO45" s="703">
        <f t="shared" si="127"/>
        <v>4.6350000000000002E-2</v>
      </c>
      <c r="DP45" s="703">
        <f t="shared" si="127"/>
        <v>6.1800000000000001E-2</v>
      </c>
      <c r="DQ45" s="703">
        <f t="shared" si="127"/>
        <v>7.7249999999999999E-2</v>
      </c>
      <c r="DR45" s="703">
        <f t="shared" si="127"/>
        <v>0.1236</v>
      </c>
      <c r="DS45" s="703">
        <f t="shared" si="127"/>
        <v>0.1236</v>
      </c>
      <c r="DT45" s="703">
        <f t="shared" si="127"/>
        <v>0.1236</v>
      </c>
      <c r="DU45" s="703">
        <f t="shared" si="127"/>
        <v>0.1545</v>
      </c>
      <c r="DV45" s="703">
        <f t="shared" si="127"/>
        <v>0.1545</v>
      </c>
      <c r="DW45" s="703">
        <f t="shared" si="127"/>
        <v>0.1545</v>
      </c>
      <c r="DX45" s="703">
        <f t="shared" si="127"/>
        <v>0.18540000000000001</v>
      </c>
      <c r="DY45" s="703">
        <f t="shared" si="127"/>
        <v>0.18540000000000001</v>
      </c>
      <c r="DZ45" s="703">
        <f t="shared" si="127"/>
        <v>0.18540000000000001</v>
      </c>
      <c r="EA45" s="703">
        <f t="shared" si="127"/>
        <v>0.18540000000000001</v>
      </c>
      <c r="EB45" s="703">
        <f t="shared" si="127"/>
        <v>0.18540000000000001</v>
      </c>
      <c r="EC45" s="703">
        <f t="shared" si="127"/>
        <v>0.18540000000000001</v>
      </c>
      <c r="ED45" s="703">
        <f t="shared" si="127"/>
        <v>0.18540000000000001</v>
      </c>
      <c r="EE45" s="703">
        <f t="shared" si="127"/>
        <v>0.18540000000000001</v>
      </c>
      <c r="EF45" s="703">
        <f t="shared" si="127"/>
        <v>0.18540000000000001</v>
      </c>
      <c r="EG45" s="703">
        <f t="shared" si="127"/>
        <v>0.18540000000000001</v>
      </c>
    </row>
    <row r="46" spans="1:138">
      <c r="A46" s="550" t="s">
        <v>263</v>
      </c>
      <c r="B46" s="550" t="s">
        <v>264</v>
      </c>
      <c r="BL46" s="702">
        <v>6</v>
      </c>
      <c r="BM46" s="703">
        <f>BM32</f>
        <v>0</v>
      </c>
      <c r="BN46" s="703">
        <f t="shared" ref="BN46:CH46" si="128">BN32</f>
        <v>0</v>
      </c>
      <c r="BO46" s="703">
        <f t="shared" si="128"/>
        <v>0</v>
      </c>
      <c r="BP46" s="703">
        <f t="shared" si="128"/>
        <v>0</v>
      </c>
      <c r="BQ46" s="703">
        <f t="shared" si="128"/>
        <v>3.31E-3</v>
      </c>
      <c r="BR46" s="703">
        <f t="shared" si="128"/>
        <v>3.31E-3</v>
      </c>
      <c r="BS46" s="703">
        <f t="shared" si="128"/>
        <v>1.6549999999999999E-2</v>
      </c>
      <c r="BT46" s="703">
        <f t="shared" si="128"/>
        <v>1.6549999999999999E-2</v>
      </c>
      <c r="BU46" s="703">
        <f t="shared" si="128"/>
        <v>3.3099999999999997E-2</v>
      </c>
      <c r="BV46" s="703">
        <f t="shared" si="128"/>
        <v>3.3099999999999997E-2</v>
      </c>
      <c r="BW46" s="703">
        <f t="shared" si="128"/>
        <v>4.3044999999999993E-2</v>
      </c>
      <c r="BX46" s="703">
        <f t="shared" si="128"/>
        <v>9.6450000000000008E-2</v>
      </c>
      <c r="BY46" s="703">
        <f t="shared" si="128"/>
        <v>0.10112</v>
      </c>
      <c r="BZ46" s="703">
        <f t="shared" si="128"/>
        <v>0.17145000000000002</v>
      </c>
      <c r="CA46" s="703">
        <f t="shared" si="128"/>
        <v>0.17145000000000002</v>
      </c>
      <c r="CB46" s="703">
        <f t="shared" si="128"/>
        <v>0.22989999999999999</v>
      </c>
      <c r="CC46" s="703">
        <f t="shared" si="128"/>
        <v>0.25324999999999998</v>
      </c>
      <c r="CD46" s="703">
        <f t="shared" si="128"/>
        <v>0.31169999999999998</v>
      </c>
      <c r="CE46" s="703">
        <f t="shared" si="128"/>
        <v>0.31169999999999998</v>
      </c>
      <c r="CF46" s="703">
        <f t="shared" si="128"/>
        <v>0.31169999999999998</v>
      </c>
      <c r="CG46" s="703">
        <f t="shared" si="128"/>
        <v>0.31169999999999998</v>
      </c>
      <c r="CH46" s="703">
        <f t="shared" si="128"/>
        <v>0.31169999999999998</v>
      </c>
      <c r="CK46" s="702">
        <v>6</v>
      </c>
      <c r="CL46" s="703">
        <f>CL32</f>
        <v>0</v>
      </c>
      <c r="CM46" s="703">
        <f t="shared" ref="CM46:DG46" si="129">CM32</f>
        <v>0</v>
      </c>
      <c r="CN46" s="703">
        <f t="shared" si="129"/>
        <v>0</v>
      </c>
      <c r="CO46" s="703">
        <f t="shared" si="129"/>
        <v>0</v>
      </c>
      <c r="CP46" s="703">
        <f t="shared" si="129"/>
        <v>0</v>
      </c>
      <c r="CQ46" s="703">
        <f t="shared" si="129"/>
        <v>0</v>
      </c>
      <c r="CR46" s="703">
        <f t="shared" si="129"/>
        <v>0</v>
      </c>
      <c r="CS46" s="703">
        <f t="shared" si="129"/>
        <v>0</v>
      </c>
      <c r="CT46" s="703">
        <f t="shared" si="129"/>
        <v>0</v>
      </c>
      <c r="CU46" s="703">
        <f t="shared" si="129"/>
        <v>0</v>
      </c>
      <c r="CV46" s="703">
        <f t="shared" si="129"/>
        <v>0</v>
      </c>
      <c r="CW46" s="703">
        <f t="shared" si="129"/>
        <v>0</v>
      </c>
      <c r="CX46" s="703">
        <f t="shared" si="129"/>
        <v>0</v>
      </c>
      <c r="CY46" s="703">
        <f t="shared" si="129"/>
        <v>0</v>
      </c>
      <c r="CZ46" s="703">
        <f t="shared" si="129"/>
        <v>0</v>
      </c>
      <c r="DA46" s="703">
        <f t="shared" si="129"/>
        <v>0</v>
      </c>
      <c r="DB46" s="703">
        <f t="shared" si="129"/>
        <v>0</v>
      </c>
      <c r="DC46" s="703">
        <f t="shared" si="129"/>
        <v>0</v>
      </c>
      <c r="DD46" s="703">
        <f t="shared" si="129"/>
        <v>0</v>
      </c>
      <c r="DE46" s="703">
        <f t="shared" si="129"/>
        <v>0</v>
      </c>
      <c r="DF46" s="703">
        <f t="shared" si="129"/>
        <v>0</v>
      </c>
      <c r="DG46" s="703">
        <f t="shared" si="129"/>
        <v>0</v>
      </c>
      <c r="DK46" s="702">
        <v>6</v>
      </c>
      <c r="DL46" s="703">
        <f>DL32</f>
        <v>0</v>
      </c>
      <c r="DM46" s="703">
        <f t="shared" ref="DM46:EG46" si="130">DM32</f>
        <v>0</v>
      </c>
      <c r="DN46" s="703">
        <f t="shared" si="130"/>
        <v>0</v>
      </c>
      <c r="DO46" s="703">
        <f t="shared" si="130"/>
        <v>0</v>
      </c>
      <c r="DP46" s="703">
        <f t="shared" si="130"/>
        <v>3.31E-3</v>
      </c>
      <c r="DQ46" s="703">
        <f t="shared" si="130"/>
        <v>3.31E-3</v>
      </c>
      <c r="DR46" s="703">
        <f t="shared" si="130"/>
        <v>1.6549999999999999E-2</v>
      </c>
      <c r="DS46" s="703">
        <f t="shared" si="130"/>
        <v>1.6549999999999999E-2</v>
      </c>
      <c r="DT46" s="703">
        <f t="shared" si="130"/>
        <v>3.3685E-2</v>
      </c>
      <c r="DU46" s="703">
        <f t="shared" si="130"/>
        <v>4.1874999999999996E-2</v>
      </c>
      <c r="DV46" s="703">
        <f t="shared" si="130"/>
        <v>8.9589999999999989E-2</v>
      </c>
      <c r="DW46" s="703">
        <f t="shared" si="130"/>
        <v>0.17145000000000002</v>
      </c>
      <c r="DX46" s="703">
        <f t="shared" si="130"/>
        <v>0.17145000000000002</v>
      </c>
      <c r="DY46" s="703">
        <f t="shared" si="130"/>
        <v>0.22989999999999999</v>
      </c>
      <c r="DZ46" s="703">
        <f t="shared" si="130"/>
        <v>0.22989999999999999</v>
      </c>
      <c r="EA46" s="703">
        <f t="shared" si="130"/>
        <v>0.22989999999999999</v>
      </c>
      <c r="EB46" s="703">
        <f t="shared" si="130"/>
        <v>0.22989999999999999</v>
      </c>
      <c r="EC46" s="703">
        <f t="shared" si="130"/>
        <v>0.22989999999999999</v>
      </c>
      <c r="ED46" s="703">
        <f t="shared" si="130"/>
        <v>0.22989999999999999</v>
      </c>
      <c r="EE46" s="703">
        <f t="shared" si="130"/>
        <v>0.22989999999999999</v>
      </c>
      <c r="EF46" s="703">
        <f t="shared" si="130"/>
        <v>0.22989999999999999</v>
      </c>
      <c r="EG46" s="703">
        <f t="shared" si="130"/>
        <v>0.22989999999999999</v>
      </c>
    </row>
    <row r="47" spans="1:138">
      <c r="A47" s="550" t="s">
        <v>265</v>
      </c>
      <c r="B47" s="550" t="s">
        <v>266</v>
      </c>
      <c r="H47" s="550" t="s">
        <v>287</v>
      </c>
      <c r="I47" s="550" t="s">
        <v>24</v>
      </c>
      <c r="BL47" s="702" t="s">
        <v>31</v>
      </c>
      <c r="BM47" s="704">
        <f>SUM(BM41:BM46)</f>
        <v>0</v>
      </c>
      <c r="BN47" s="704">
        <f t="shared" ref="BN47:CH47" si="131">SUM(BN41:BN46)</f>
        <v>6.3355000000000009E-2</v>
      </c>
      <c r="BO47" s="704">
        <f t="shared" si="131"/>
        <v>0.10044500000000001</v>
      </c>
      <c r="BP47" s="704">
        <f t="shared" si="131"/>
        <v>0.17152500000000001</v>
      </c>
      <c r="BQ47" s="704">
        <f t="shared" si="131"/>
        <v>0.21412</v>
      </c>
      <c r="BR47" s="704">
        <f t="shared" si="131"/>
        <v>0.26306999999999997</v>
      </c>
      <c r="BS47" s="704">
        <f t="shared" si="131"/>
        <v>0.38564999999999999</v>
      </c>
      <c r="BT47" s="704">
        <f t="shared" si="131"/>
        <v>0.47387500000000005</v>
      </c>
      <c r="BU47" s="704">
        <f t="shared" si="131"/>
        <v>0.55805000000000005</v>
      </c>
      <c r="BV47" s="704">
        <f t="shared" si="131"/>
        <v>0.59152500000000008</v>
      </c>
      <c r="BW47" s="704">
        <f t="shared" si="131"/>
        <v>0.68731999999999993</v>
      </c>
      <c r="BX47" s="704">
        <f t="shared" si="131"/>
        <v>0.74509999999999998</v>
      </c>
      <c r="BY47" s="704">
        <f t="shared" si="131"/>
        <v>0.75414499999999995</v>
      </c>
      <c r="BZ47" s="704">
        <f t="shared" si="131"/>
        <v>0.85975000000000001</v>
      </c>
      <c r="CA47" s="704">
        <f t="shared" si="131"/>
        <v>0.85975000000000001</v>
      </c>
      <c r="CB47" s="704">
        <f t="shared" si="131"/>
        <v>0.91820000000000002</v>
      </c>
      <c r="CC47" s="704">
        <f t="shared" si="131"/>
        <v>0.94155</v>
      </c>
      <c r="CD47" s="704">
        <f t="shared" si="131"/>
        <v>1</v>
      </c>
      <c r="CE47" s="704">
        <f t="shared" si="131"/>
        <v>1</v>
      </c>
      <c r="CF47" s="704">
        <f t="shared" si="131"/>
        <v>1</v>
      </c>
      <c r="CG47" s="704">
        <f t="shared" si="131"/>
        <v>1</v>
      </c>
      <c r="CH47" s="704">
        <f t="shared" si="131"/>
        <v>1</v>
      </c>
      <c r="CK47" s="702" t="s">
        <v>31</v>
      </c>
      <c r="CL47" s="704">
        <f>SUM(CL41:CL46)</f>
        <v>0</v>
      </c>
      <c r="CM47" s="704">
        <f t="shared" ref="CM47" si="132">SUM(CM41:CM46)</f>
        <v>0</v>
      </c>
      <c r="CN47" s="704">
        <f t="shared" ref="CN47" si="133">SUM(CN41:CN46)</f>
        <v>0</v>
      </c>
      <c r="CO47" s="704">
        <f t="shared" ref="CO47" si="134">SUM(CO41:CO46)</f>
        <v>3.09E-2</v>
      </c>
      <c r="CP47" s="704">
        <f t="shared" ref="CP47" si="135">SUM(CP41:CP46)</f>
        <v>3.09E-2</v>
      </c>
      <c r="CQ47" s="704">
        <f t="shared" ref="CQ47" si="136">SUM(CQ41:CQ46)</f>
        <v>3.09E-2</v>
      </c>
      <c r="CR47" s="704">
        <f t="shared" ref="CR47" si="137">SUM(CR41:CR46)</f>
        <v>3.09E-2</v>
      </c>
      <c r="CS47" s="704">
        <f t="shared" ref="CS47" si="138">SUM(CS41:CS46)</f>
        <v>3.09E-2</v>
      </c>
      <c r="CT47" s="704">
        <f t="shared" ref="CT47" si="139">SUM(CT41:CT46)</f>
        <v>3.09E-2</v>
      </c>
      <c r="CU47" s="704">
        <f t="shared" ref="CU47" si="140">SUM(CU41:CU46)</f>
        <v>3.09E-2</v>
      </c>
      <c r="CV47" s="704">
        <f t="shared" ref="CV47" si="141">SUM(CV41:CV46)</f>
        <v>3.09E-2</v>
      </c>
      <c r="CW47" s="704">
        <f t="shared" ref="CW47" si="142">SUM(CW41:CW46)</f>
        <v>3.09E-2</v>
      </c>
      <c r="CX47" s="704">
        <f t="shared" ref="CX47" si="143">SUM(CX41:CX46)</f>
        <v>3.09E-2</v>
      </c>
      <c r="CY47" s="704">
        <f t="shared" ref="CY47" si="144">SUM(CY41:CY46)</f>
        <v>3.09E-2</v>
      </c>
      <c r="CZ47" s="704">
        <f t="shared" ref="CZ47" si="145">SUM(CZ41:CZ46)</f>
        <v>6.9525000000000003E-2</v>
      </c>
      <c r="DA47" s="704">
        <f t="shared" ref="DA47" si="146">SUM(DA41:DA46)</f>
        <v>6.9525000000000003E-2</v>
      </c>
      <c r="DB47" s="704">
        <f t="shared" ref="DB47" si="147">SUM(DB41:DB46)</f>
        <v>6.9525000000000003E-2</v>
      </c>
      <c r="DC47" s="704">
        <f t="shared" ref="DC47" si="148">SUM(DC41:DC46)</f>
        <v>6.9525000000000003E-2</v>
      </c>
      <c r="DD47" s="704">
        <f t="shared" ref="DD47" si="149">SUM(DD41:DD46)</f>
        <v>6.9525000000000003E-2</v>
      </c>
      <c r="DE47" s="704">
        <f t="shared" ref="DE47" si="150">SUM(DE41:DE46)</f>
        <v>6.9525000000000003E-2</v>
      </c>
      <c r="DF47" s="704">
        <f t="shared" ref="DF47" si="151">SUM(DF41:DF46)</f>
        <v>6.9525000000000003E-2</v>
      </c>
      <c r="DG47" s="704">
        <f t="shared" ref="DG47" si="152">SUM(DG41:DG46)</f>
        <v>6.9525000000000003E-2</v>
      </c>
      <c r="DK47" s="702" t="s">
        <v>31</v>
      </c>
      <c r="DL47" s="704">
        <f>SUM(DL41:DL46)</f>
        <v>0</v>
      </c>
      <c r="DM47" s="704">
        <f t="shared" ref="DM47" si="153">SUM(DM41:DM46)</f>
        <v>0.217725</v>
      </c>
      <c r="DN47" s="704">
        <f t="shared" ref="DN47" si="154">SUM(DN41:DN46)</f>
        <v>0.36179</v>
      </c>
      <c r="DO47" s="704">
        <f t="shared" ref="DO47" si="155">SUM(DO41:DO46)</f>
        <v>0.41880000000000006</v>
      </c>
      <c r="DP47" s="704">
        <f t="shared" ref="DP47" si="156">SUM(DP41:DP46)</f>
        <v>0.43756000000000006</v>
      </c>
      <c r="DQ47" s="704">
        <f t="shared" ref="DQ47" si="157">SUM(DQ41:DQ46)</f>
        <v>0.45301000000000002</v>
      </c>
      <c r="DR47" s="704">
        <f t="shared" ref="DR47" si="158">SUM(DR41:DR46)</f>
        <v>0.51260000000000006</v>
      </c>
      <c r="DS47" s="704">
        <f t="shared" ref="DS47" si="159">SUM(DS41:DS46)</f>
        <v>0.52202499999999996</v>
      </c>
      <c r="DT47" s="704">
        <f t="shared" ref="DT47" si="160">SUM(DT41:DT46)</f>
        <v>0.55291000000000001</v>
      </c>
      <c r="DU47" s="704">
        <f t="shared" ref="DU47" si="161">SUM(DU41:DU46)</f>
        <v>0.61517500000000003</v>
      </c>
      <c r="DV47" s="704">
        <f t="shared" ref="DV47" si="162">SUM(DV41:DV46)</f>
        <v>0.69548999999999994</v>
      </c>
      <c r="DW47" s="704">
        <f t="shared" ref="DW47" si="163">SUM(DW41:DW46)</f>
        <v>0.77734999999999999</v>
      </c>
      <c r="DX47" s="704">
        <f t="shared" ref="DX47" si="164">SUM(DX41:DX46)</f>
        <v>0.80825000000000002</v>
      </c>
      <c r="DY47" s="704">
        <f t="shared" ref="DY47" si="165">SUM(DY41:DY46)</f>
        <v>0.86670000000000003</v>
      </c>
      <c r="DZ47" s="704">
        <f t="shared" ref="DZ47" si="166">SUM(DZ41:DZ46)</f>
        <v>0.86670000000000003</v>
      </c>
      <c r="EA47" s="704">
        <f t="shared" ref="EA47" si="167">SUM(EA41:EA46)</f>
        <v>0.86670000000000003</v>
      </c>
      <c r="EB47" s="704">
        <f t="shared" ref="EB47" si="168">SUM(EB41:EB46)</f>
        <v>0.86670000000000003</v>
      </c>
      <c r="EC47" s="704">
        <f t="shared" ref="EC47" si="169">SUM(EC41:EC46)</f>
        <v>0.86670000000000003</v>
      </c>
      <c r="ED47" s="704">
        <f t="shared" ref="ED47" si="170">SUM(ED41:ED46)</f>
        <v>0.86670000000000003</v>
      </c>
      <c r="EE47" s="704">
        <f t="shared" ref="EE47" si="171">SUM(EE41:EE46)</f>
        <v>0.86670000000000003</v>
      </c>
      <c r="EF47" s="704">
        <f t="shared" ref="EF47" si="172">SUM(EF41:EF46)</f>
        <v>0.86670000000000003</v>
      </c>
      <c r="EG47" s="704">
        <f t="shared" ref="EG47" si="173">SUM(EG41:EG46)</f>
        <v>0.86670000000000003</v>
      </c>
    </row>
    <row r="48" spans="1:138">
      <c r="A48" s="550" t="s">
        <v>267</v>
      </c>
      <c r="B48" s="550" t="s">
        <v>268</v>
      </c>
      <c r="G48" s="821" t="s">
        <v>197</v>
      </c>
      <c r="H48" s="822">
        <f>MAX(J17,M17,Q17,U17,Y17)</f>
        <v>46131</v>
      </c>
      <c r="I48" s="822">
        <f>MAX(H17,K17,O17,S17,W17)</f>
        <v>46133</v>
      </c>
      <c r="J48" s="820">
        <v>46131</v>
      </c>
    </row>
    <row r="49" spans="1:137">
      <c r="A49" s="550" t="s">
        <v>270</v>
      </c>
      <c r="B49" s="550" t="s">
        <v>269</v>
      </c>
      <c r="G49" s="821" t="s">
        <v>198</v>
      </c>
      <c r="H49" s="822">
        <f t="shared" ref="H49:H67" si="174">MAX(J18,M18,Q18,U18,Y18)</f>
        <v>46131</v>
      </c>
      <c r="I49" s="822">
        <f t="shared" ref="I49:I67" si="175">MAX(H18,K18,O18,S18,W18)</f>
        <v>46133</v>
      </c>
      <c r="J49" s="820">
        <v>46131</v>
      </c>
      <c r="BK49" s="702" t="s">
        <v>35</v>
      </c>
      <c r="BL49" s="702" t="s">
        <v>78</v>
      </c>
      <c r="CJ49" s="702" t="s">
        <v>35</v>
      </c>
      <c r="CK49" s="702" t="s">
        <v>78</v>
      </c>
      <c r="DJ49" s="702" t="s">
        <v>35</v>
      </c>
      <c r="DK49" s="702" t="s">
        <v>78</v>
      </c>
    </row>
    <row r="50" spans="1:137">
      <c r="A50" s="550" t="s">
        <v>271</v>
      </c>
      <c r="B50" s="550" t="s">
        <v>272</v>
      </c>
      <c r="G50" s="823">
        <v>2</v>
      </c>
      <c r="H50" s="822">
        <f t="shared" si="174"/>
        <v>0</v>
      </c>
      <c r="I50" s="822">
        <f t="shared" si="175"/>
        <v>0</v>
      </c>
      <c r="J50" s="820">
        <v>0</v>
      </c>
      <c r="BK50" s="705">
        <f>F16</f>
        <v>9.2700000000000005E-2</v>
      </c>
      <c r="BL50" s="702">
        <v>1</v>
      </c>
      <c r="BM50" s="706">
        <f t="shared" ref="BM50:BT50" si="176">BM41/$BK50</f>
        <v>0</v>
      </c>
      <c r="BN50" s="706">
        <f t="shared" si="176"/>
        <v>0.5</v>
      </c>
      <c r="BO50" s="706">
        <f t="shared" si="176"/>
        <v>0.75</v>
      </c>
      <c r="BP50" s="706">
        <f t="shared" si="176"/>
        <v>1</v>
      </c>
      <c r="BQ50" s="706">
        <f t="shared" si="176"/>
        <v>1</v>
      </c>
      <c r="BR50" s="706">
        <f t="shared" si="176"/>
        <v>1</v>
      </c>
      <c r="BS50" s="706">
        <f t="shared" si="176"/>
        <v>1</v>
      </c>
      <c r="BT50" s="706">
        <f t="shared" si="176"/>
        <v>1</v>
      </c>
      <c r="BU50" s="706">
        <f t="shared" ref="BU50:CH50" si="177">BU41/$BK50</f>
        <v>1</v>
      </c>
      <c r="BV50" s="706">
        <f t="shared" si="177"/>
        <v>1</v>
      </c>
      <c r="BW50" s="706">
        <f t="shared" si="177"/>
        <v>1</v>
      </c>
      <c r="BX50" s="706">
        <f t="shared" si="177"/>
        <v>1</v>
      </c>
      <c r="BY50" s="706">
        <f t="shared" si="177"/>
        <v>1</v>
      </c>
      <c r="BZ50" s="706">
        <f t="shared" si="177"/>
        <v>1</v>
      </c>
      <c r="CA50" s="706">
        <f t="shared" si="177"/>
        <v>1</v>
      </c>
      <c r="CB50" s="706">
        <f t="shared" si="177"/>
        <v>1</v>
      </c>
      <c r="CC50" s="706">
        <f t="shared" si="177"/>
        <v>1</v>
      </c>
      <c r="CD50" s="706">
        <f t="shared" si="177"/>
        <v>1</v>
      </c>
      <c r="CE50" s="706">
        <f t="shared" si="177"/>
        <v>1</v>
      </c>
      <c r="CF50" s="706">
        <f t="shared" si="177"/>
        <v>1</v>
      </c>
      <c r="CG50" s="706">
        <f t="shared" si="177"/>
        <v>1</v>
      </c>
      <c r="CH50" s="706">
        <f t="shared" si="177"/>
        <v>1</v>
      </c>
      <c r="CJ50" s="705">
        <f t="shared" ref="CJ50:CJ56" si="178">$BK50</f>
        <v>9.2700000000000005E-2</v>
      </c>
      <c r="CK50" s="702">
        <v>1</v>
      </c>
      <c r="CL50" s="706">
        <f t="shared" ref="CL50:CL56" si="179">CL41/$CJ50</f>
        <v>0</v>
      </c>
      <c r="CM50" s="706">
        <f t="shared" ref="CM50:DG50" si="180">CM41/$CJ50</f>
        <v>0</v>
      </c>
      <c r="CN50" s="706">
        <f t="shared" si="180"/>
        <v>0</v>
      </c>
      <c r="CO50" s="706">
        <f t="shared" si="180"/>
        <v>0</v>
      </c>
      <c r="CP50" s="706">
        <f t="shared" si="180"/>
        <v>0</v>
      </c>
      <c r="CQ50" s="706">
        <f t="shared" si="180"/>
        <v>0</v>
      </c>
      <c r="CR50" s="706">
        <f t="shared" si="180"/>
        <v>0</v>
      </c>
      <c r="CS50" s="706">
        <f t="shared" si="180"/>
        <v>0</v>
      </c>
      <c r="CT50" s="706">
        <f t="shared" si="180"/>
        <v>0</v>
      </c>
      <c r="CU50" s="706">
        <f t="shared" si="180"/>
        <v>0</v>
      </c>
      <c r="CV50" s="706">
        <f t="shared" si="180"/>
        <v>0</v>
      </c>
      <c r="CW50" s="706">
        <f t="shared" si="180"/>
        <v>0</v>
      </c>
      <c r="CX50" s="706">
        <f t="shared" si="180"/>
        <v>0</v>
      </c>
      <c r="CY50" s="706">
        <f t="shared" si="180"/>
        <v>0</v>
      </c>
      <c r="CZ50" s="706">
        <f t="shared" si="180"/>
        <v>0</v>
      </c>
      <c r="DA50" s="706">
        <f t="shared" si="180"/>
        <v>0</v>
      </c>
      <c r="DB50" s="706">
        <f t="shared" si="180"/>
        <v>0</v>
      </c>
      <c r="DC50" s="706">
        <f t="shared" si="180"/>
        <v>0</v>
      </c>
      <c r="DD50" s="706">
        <f t="shared" si="180"/>
        <v>0</v>
      </c>
      <c r="DE50" s="706">
        <f t="shared" si="180"/>
        <v>0</v>
      </c>
      <c r="DF50" s="706">
        <f t="shared" si="180"/>
        <v>0</v>
      </c>
      <c r="DG50" s="706">
        <f t="shared" si="180"/>
        <v>0</v>
      </c>
      <c r="DJ50" s="705">
        <f t="shared" ref="DJ50:DJ56" si="181">$BK50</f>
        <v>9.2700000000000005E-2</v>
      </c>
      <c r="DK50" s="702">
        <v>1</v>
      </c>
      <c r="DL50" s="706">
        <f t="shared" ref="DL50:DL56" si="182">DL41/$DJ50</f>
        <v>0</v>
      </c>
      <c r="DM50" s="706">
        <f t="shared" ref="DM50:EG50" si="183">DM41/$DJ50</f>
        <v>0.75</v>
      </c>
      <c r="DN50" s="706">
        <f t="shared" si="183"/>
        <v>1</v>
      </c>
      <c r="DO50" s="706">
        <f t="shared" si="183"/>
        <v>1</v>
      </c>
      <c r="DP50" s="706">
        <f t="shared" si="183"/>
        <v>1</v>
      </c>
      <c r="DQ50" s="706">
        <f t="shared" si="183"/>
        <v>1</v>
      </c>
      <c r="DR50" s="706">
        <f t="shared" si="183"/>
        <v>1</v>
      </c>
      <c r="DS50" s="706">
        <f t="shared" si="183"/>
        <v>1</v>
      </c>
      <c r="DT50" s="706">
        <f t="shared" si="183"/>
        <v>1</v>
      </c>
      <c r="DU50" s="706">
        <f t="shared" si="183"/>
        <v>1</v>
      </c>
      <c r="DV50" s="706">
        <f t="shared" si="183"/>
        <v>1</v>
      </c>
      <c r="DW50" s="706">
        <f t="shared" si="183"/>
        <v>1</v>
      </c>
      <c r="DX50" s="706">
        <f t="shared" si="183"/>
        <v>1</v>
      </c>
      <c r="DY50" s="706">
        <f t="shared" si="183"/>
        <v>1</v>
      </c>
      <c r="DZ50" s="706">
        <f t="shared" si="183"/>
        <v>1</v>
      </c>
      <c r="EA50" s="706">
        <f t="shared" si="183"/>
        <v>1</v>
      </c>
      <c r="EB50" s="706">
        <f t="shared" si="183"/>
        <v>1</v>
      </c>
      <c r="EC50" s="706">
        <f t="shared" si="183"/>
        <v>1</v>
      </c>
      <c r="ED50" s="706">
        <f t="shared" si="183"/>
        <v>1</v>
      </c>
      <c r="EE50" s="706">
        <f t="shared" si="183"/>
        <v>1</v>
      </c>
      <c r="EF50" s="706">
        <f t="shared" si="183"/>
        <v>1</v>
      </c>
      <c r="EG50" s="706">
        <f t="shared" si="183"/>
        <v>1</v>
      </c>
    </row>
    <row r="51" spans="1:137">
      <c r="G51" s="821" t="s">
        <v>201</v>
      </c>
      <c r="H51" s="822">
        <f t="shared" si="174"/>
        <v>0</v>
      </c>
      <c r="I51" s="822">
        <f t="shared" si="175"/>
        <v>46173</v>
      </c>
      <c r="J51" s="820">
        <v>0</v>
      </c>
      <c r="BK51" s="705">
        <f>F19</f>
        <v>5.1499999999999997E-2</v>
      </c>
      <c r="BL51" s="702">
        <v>2</v>
      </c>
      <c r="BM51" s="706">
        <f t="shared" ref="BM51:BM56" si="184">BM42/$BK51</f>
        <v>0</v>
      </c>
      <c r="BN51" s="706">
        <f t="shared" ref="BN51:CH51" si="185">BN42/$BK51</f>
        <v>0</v>
      </c>
      <c r="BO51" s="706">
        <f t="shared" si="185"/>
        <v>0</v>
      </c>
      <c r="BP51" s="706">
        <f t="shared" si="185"/>
        <v>0</v>
      </c>
      <c r="BQ51" s="706">
        <f t="shared" si="185"/>
        <v>0</v>
      </c>
      <c r="BR51" s="706">
        <f t="shared" si="185"/>
        <v>0</v>
      </c>
      <c r="BS51" s="706">
        <f t="shared" si="185"/>
        <v>0.05</v>
      </c>
      <c r="BT51" s="706">
        <f t="shared" si="185"/>
        <v>0.5</v>
      </c>
      <c r="BU51" s="706">
        <f t="shared" si="185"/>
        <v>1</v>
      </c>
      <c r="BV51" s="706">
        <f t="shared" si="185"/>
        <v>1</v>
      </c>
      <c r="BW51" s="706">
        <f t="shared" si="185"/>
        <v>1</v>
      </c>
      <c r="BX51" s="706">
        <f t="shared" si="185"/>
        <v>1</v>
      </c>
      <c r="BY51" s="706">
        <f t="shared" si="185"/>
        <v>1</v>
      </c>
      <c r="BZ51" s="706">
        <f t="shared" si="185"/>
        <v>1</v>
      </c>
      <c r="CA51" s="706">
        <f t="shared" si="185"/>
        <v>1</v>
      </c>
      <c r="CB51" s="706">
        <f t="shared" si="185"/>
        <v>1</v>
      </c>
      <c r="CC51" s="706">
        <f t="shared" si="185"/>
        <v>1</v>
      </c>
      <c r="CD51" s="706">
        <f t="shared" si="185"/>
        <v>1</v>
      </c>
      <c r="CE51" s="706">
        <f t="shared" si="185"/>
        <v>1</v>
      </c>
      <c r="CF51" s="706">
        <f t="shared" si="185"/>
        <v>1</v>
      </c>
      <c r="CG51" s="706">
        <f t="shared" si="185"/>
        <v>1</v>
      </c>
      <c r="CH51" s="706">
        <f t="shared" si="185"/>
        <v>1</v>
      </c>
      <c r="CJ51" s="705">
        <f t="shared" si="178"/>
        <v>5.1499999999999997E-2</v>
      </c>
      <c r="CK51" s="702">
        <v>2</v>
      </c>
      <c r="CL51" s="706">
        <f t="shared" si="179"/>
        <v>0</v>
      </c>
      <c r="CM51" s="706">
        <f t="shared" ref="CM51:DG51" si="186">CM42/$CJ51</f>
        <v>0</v>
      </c>
      <c r="CN51" s="706">
        <f t="shared" si="186"/>
        <v>0</v>
      </c>
      <c r="CO51" s="706">
        <f t="shared" si="186"/>
        <v>0</v>
      </c>
      <c r="CP51" s="706">
        <f t="shared" si="186"/>
        <v>0</v>
      </c>
      <c r="CQ51" s="706">
        <f t="shared" si="186"/>
        <v>0</v>
      </c>
      <c r="CR51" s="706">
        <f t="shared" si="186"/>
        <v>0</v>
      </c>
      <c r="CS51" s="706">
        <f t="shared" si="186"/>
        <v>0</v>
      </c>
      <c r="CT51" s="706">
        <f t="shared" si="186"/>
        <v>0</v>
      </c>
      <c r="CU51" s="706">
        <f t="shared" si="186"/>
        <v>0</v>
      </c>
      <c r="CV51" s="706">
        <f t="shared" si="186"/>
        <v>0</v>
      </c>
      <c r="CW51" s="706">
        <f t="shared" si="186"/>
        <v>0</v>
      </c>
      <c r="CX51" s="706">
        <f t="shared" si="186"/>
        <v>0</v>
      </c>
      <c r="CY51" s="706">
        <f t="shared" si="186"/>
        <v>0</v>
      </c>
      <c r="CZ51" s="706">
        <f t="shared" si="186"/>
        <v>0.75</v>
      </c>
      <c r="DA51" s="706">
        <f t="shared" si="186"/>
        <v>0.75</v>
      </c>
      <c r="DB51" s="706">
        <f t="shared" si="186"/>
        <v>0.75</v>
      </c>
      <c r="DC51" s="706">
        <f t="shared" si="186"/>
        <v>0.75</v>
      </c>
      <c r="DD51" s="706">
        <f t="shared" si="186"/>
        <v>0.75</v>
      </c>
      <c r="DE51" s="706">
        <f t="shared" si="186"/>
        <v>0.75</v>
      </c>
      <c r="DF51" s="706">
        <f t="shared" si="186"/>
        <v>0.75</v>
      </c>
      <c r="DG51" s="706">
        <f t="shared" si="186"/>
        <v>0.75</v>
      </c>
      <c r="DJ51" s="705">
        <f t="shared" si="181"/>
        <v>5.1499999999999997E-2</v>
      </c>
      <c r="DK51" s="702">
        <v>2</v>
      </c>
      <c r="DL51" s="706">
        <f t="shared" si="182"/>
        <v>0</v>
      </c>
      <c r="DM51" s="706">
        <f t="shared" ref="DM51:EG51" si="187">DM42/$DJ51</f>
        <v>0</v>
      </c>
      <c r="DN51" s="706">
        <f t="shared" si="187"/>
        <v>0</v>
      </c>
      <c r="DO51" s="706">
        <f t="shared" si="187"/>
        <v>0</v>
      </c>
      <c r="DP51" s="706">
        <f t="shared" si="187"/>
        <v>0</v>
      </c>
      <c r="DQ51" s="706">
        <f t="shared" si="187"/>
        <v>0</v>
      </c>
      <c r="DR51" s="706">
        <f t="shared" si="187"/>
        <v>0</v>
      </c>
      <c r="DS51" s="706">
        <f t="shared" si="187"/>
        <v>0</v>
      </c>
      <c r="DT51" s="706">
        <f t="shared" si="187"/>
        <v>0</v>
      </c>
      <c r="DU51" s="706">
        <f t="shared" si="187"/>
        <v>0</v>
      </c>
      <c r="DV51" s="706">
        <f t="shared" si="187"/>
        <v>0</v>
      </c>
      <c r="DW51" s="706">
        <f t="shared" si="187"/>
        <v>0</v>
      </c>
      <c r="DX51" s="706">
        <f t="shared" si="187"/>
        <v>0</v>
      </c>
      <c r="DY51" s="706">
        <f t="shared" si="187"/>
        <v>0</v>
      </c>
      <c r="DZ51" s="706">
        <f t="shared" si="187"/>
        <v>0</v>
      </c>
      <c r="EA51" s="706">
        <f t="shared" si="187"/>
        <v>0</v>
      </c>
      <c r="EB51" s="706">
        <f t="shared" si="187"/>
        <v>0</v>
      </c>
      <c r="EC51" s="706">
        <f t="shared" si="187"/>
        <v>0</v>
      </c>
      <c r="ED51" s="706">
        <f t="shared" si="187"/>
        <v>0</v>
      </c>
      <c r="EE51" s="706">
        <f t="shared" si="187"/>
        <v>0</v>
      </c>
      <c r="EF51" s="706">
        <f t="shared" si="187"/>
        <v>0</v>
      </c>
      <c r="EG51" s="706">
        <f t="shared" si="187"/>
        <v>0</v>
      </c>
    </row>
    <row r="52" spans="1:137">
      <c r="G52" s="823">
        <v>3</v>
      </c>
      <c r="H52" s="822">
        <f t="shared" si="174"/>
        <v>0</v>
      </c>
      <c r="I52" s="822">
        <f t="shared" si="175"/>
        <v>0</v>
      </c>
      <c r="J52" s="820">
        <v>0</v>
      </c>
      <c r="BK52" s="705">
        <f>F21</f>
        <v>0.17330000000000001</v>
      </c>
      <c r="BL52" s="702">
        <v>3</v>
      </c>
      <c r="BM52" s="706">
        <f t="shared" si="184"/>
        <v>0</v>
      </c>
      <c r="BN52" s="706">
        <f t="shared" ref="BN52:CH52" si="188">BN43/$BK52</f>
        <v>6.2463935372186953E-2</v>
      </c>
      <c r="BO52" s="706">
        <f t="shared" si="188"/>
        <v>0.12492787074437391</v>
      </c>
      <c r="BP52" s="706">
        <f t="shared" si="188"/>
        <v>0.18739180611656084</v>
      </c>
      <c r="BQ52" s="706">
        <f t="shared" si="188"/>
        <v>0.28231390652048466</v>
      </c>
      <c r="BR52" s="706">
        <f t="shared" si="188"/>
        <v>0.41214656664743221</v>
      </c>
      <c r="BS52" s="706">
        <f t="shared" si="188"/>
        <v>0.57443739180611653</v>
      </c>
      <c r="BT52" s="706">
        <f t="shared" si="188"/>
        <v>0.73672821696480095</v>
      </c>
      <c r="BU52" s="706">
        <f t="shared" si="188"/>
        <v>0.89901904212348516</v>
      </c>
      <c r="BV52" s="706">
        <f t="shared" si="188"/>
        <v>0.90406809001731081</v>
      </c>
      <c r="BW52" s="706">
        <f t="shared" si="188"/>
        <v>0.92426428159261387</v>
      </c>
      <c r="BX52" s="706">
        <f t="shared" si="188"/>
        <v>0.94950952106174258</v>
      </c>
      <c r="BY52" s="706">
        <f t="shared" si="188"/>
        <v>0.97475476053087118</v>
      </c>
      <c r="BZ52" s="706">
        <f t="shared" si="188"/>
        <v>1</v>
      </c>
      <c r="CA52" s="706">
        <f t="shared" si="188"/>
        <v>1</v>
      </c>
      <c r="CB52" s="706">
        <f t="shared" si="188"/>
        <v>1</v>
      </c>
      <c r="CC52" s="706">
        <f t="shared" si="188"/>
        <v>1</v>
      </c>
      <c r="CD52" s="706">
        <f t="shared" si="188"/>
        <v>1</v>
      </c>
      <c r="CE52" s="706">
        <f t="shared" si="188"/>
        <v>1</v>
      </c>
      <c r="CF52" s="706">
        <f t="shared" si="188"/>
        <v>1</v>
      </c>
      <c r="CG52" s="706">
        <f t="shared" si="188"/>
        <v>1</v>
      </c>
      <c r="CH52" s="706">
        <f t="shared" si="188"/>
        <v>1</v>
      </c>
      <c r="CJ52" s="705">
        <f t="shared" si="178"/>
        <v>0.17330000000000001</v>
      </c>
      <c r="CK52" s="702">
        <v>3</v>
      </c>
      <c r="CL52" s="706">
        <f t="shared" si="179"/>
        <v>0</v>
      </c>
      <c r="CM52" s="706">
        <f t="shared" ref="CM52:DG52" si="189">CM43/$CJ52</f>
        <v>0</v>
      </c>
      <c r="CN52" s="706">
        <f t="shared" si="189"/>
        <v>0</v>
      </c>
      <c r="CO52" s="706">
        <f t="shared" si="189"/>
        <v>0</v>
      </c>
      <c r="CP52" s="706">
        <f t="shared" si="189"/>
        <v>0</v>
      </c>
      <c r="CQ52" s="706">
        <f t="shared" si="189"/>
        <v>0</v>
      </c>
      <c r="CR52" s="706">
        <f t="shared" si="189"/>
        <v>0</v>
      </c>
      <c r="CS52" s="706">
        <f t="shared" si="189"/>
        <v>0</v>
      </c>
      <c r="CT52" s="706">
        <f t="shared" si="189"/>
        <v>0</v>
      </c>
      <c r="CU52" s="706">
        <f t="shared" si="189"/>
        <v>0</v>
      </c>
      <c r="CV52" s="706">
        <f t="shared" si="189"/>
        <v>0</v>
      </c>
      <c r="CW52" s="706">
        <f t="shared" si="189"/>
        <v>0</v>
      </c>
      <c r="CX52" s="706">
        <f t="shared" si="189"/>
        <v>0</v>
      </c>
      <c r="CY52" s="706">
        <f t="shared" si="189"/>
        <v>0</v>
      </c>
      <c r="CZ52" s="706">
        <f t="shared" si="189"/>
        <v>0</v>
      </c>
      <c r="DA52" s="706">
        <f t="shared" si="189"/>
        <v>0</v>
      </c>
      <c r="DB52" s="706">
        <f t="shared" si="189"/>
        <v>0</v>
      </c>
      <c r="DC52" s="706">
        <f t="shared" si="189"/>
        <v>0</v>
      </c>
      <c r="DD52" s="706">
        <f t="shared" si="189"/>
        <v>0</v>
      </c>
      <c r="DE52" s="706">
        <f t="shared" si="189"/>
        <v>0</v>
      </c>
      <c r="DF52" s="706">
        <f t="shared" si="189"/>
        <v>0</v>
      </c>
      <c r="DG52" s="706">
        <f t="shared" si="189"/>
        <v>0</v>
      </c>
      <c r="DJ52" s="705">
        <f t="shared" si="181"/>
        <v>0.17330000000000001</v>
      </c>
      <c r="DK52" s="702">
        <v>3</v>
      </c>
      <c r="DL52" s="706">
        <f t="shared" si="182"/>
        <v>0</v>
      </c>
      <c r="DM52" s="706">
        <f t="shared" ref="DM52:EG52" si="190">DM43/$DJ52</f>
        <v>0.58770917484131557</v>
      </c>
      <c r="DN52" s="706">
        <f t="shared" si="190"/>
        <v>1</v>
      </c>
      <c r="DO52" s="706">
        <f t="shared" si="190"/>
        <v>1</v>
      </c>
      <c r="DP52" s="706">
        <f t="shared" si="190"/>
        <v>1</v>
      </c>
      <c r="DQ52" s="706">
        <f t="shared" si="190"/>
        <v>1</v>
      </c>
      <c r="DR52" s="706">
        <f t="shared" si="190"/>
        <v>1</v>
      </c>
      <c r="DS52" s="706">
        <f t="shared" si="190"/>
        <v>1</v>
      </c>
      <c r="DT52" s="706">
        <f t="shared" si="190"/>
        <v>1</v>
      </c>
      <c r="DU52" s="706">
        <f t="shared" si="190"/>
        <v>1</v>
      </c>
      <c r="DV52" s="706">
        <f t="shared" si="190"/>
        <v>1</v>
      </c>
      <c r="DW52" s="706">
        <f t="shared" si="190"/>
        <v>1</v>
      </c>
      <c r="DX52" s="706">
        <f t="shared" si="190"/>
        <v>1</v>
      </c>
      <c r="DY52" s="706">
        <f t="shared" si="190"/>
        <v>1</v>
      </c>
      <c r="DZ52" s="706">
        <f t="shared" si="190"/>
        <v>1</v>
      </c>
      <c r="EA52" s="706">
        <f t="shared" si="190"/>
        <v>1</v>
      </c>
      <c r="EB52" s="706">
        <f t="shared" si="190"/>
        <v>1</v>
      </c>
      <c r="EC52" s="706">
        <f t="shared" si="190"/>
        <v>1</v>
      </c>
      <c r="ED52" s="706">
        <f t="shared" si="190"/>
        <v>1</v>
      </c>
      <c r="EE52" s="706">
        <f t="shared" si="190"/>
        <v>1</v>
      </c>
      <c r="EF52" s="706">
        <f t="shared" si="190"/>
        <v>1</v>
      </c>
      <c r="EG52" s="706">
        <f t="shared" si="190"/>
        <v>1</v>
      </c>
    </row>
    <row r="53" spans="1:137">
      <c r="G53" s="821" t="s">
        <v>206</v>
      </c>
      <c r="H53" s="822">
        <f t="shared" si="174"/>
        <v>46126</v>
      </c>
      <c r="I53" s="822">
        <f t="shared" si="175"/>
        <v>46142</v>
      </c>
      <c r="J53" s="820">
        <v>46126</v>
      </c>
      <c r="BK53" s="705">
        <f>F25</f>
        <v>0.18540000000000001</v>
      </c>
      <c r="BL53" s="702">
        <v>4</v>
      </c>
      <c r="BM53" s="706">
        <f t="shared" si="184"/>
        <v>0</v>
      </c>
      <c r="BN53" s="706">
        <f t="shared" ref="BN53:CH53" si="191">BN44/$BK53</f>
        <v>0</v>
      </c>
      <c r="BO53" s="706">
        <f t="shared" si="191"/>
        <v>0</v>
      </c>
      <c r="BP53" s="706">
        <f t="shared" si="191"/>
        <v>0</v>
      </c>
      <c r="BQ53" s="706">
        <f t="shared" si="191"/>
        <v>3.9832793959007552E-2</v>
      </c>
      <c r="BR53" s="706">
        <f t="shared" si="191"/>
        <v>9.9163969795037749E-2</v>
      </c>
      <c r="BS53" s="706">
        <f t="shared" si="191"/>
        <v>0.27332793959007551</v>
      </c>
      <c r="BT53" s="706">
        <f t="shared" si="191"/>
        <v>0.47249190938511332</v>
      </c>
      <c r="BU53" s="706">
        <f t="shared" si="191"/>
        <v>0.54665587918015102</v>
      </c>
      <c r="BV53" s="706">
        <f t="shared" si="191"/>
        <v>0.72249190938511321</v>
      </c>
      <c r="BW53" s="706">
        <f t="shared" si="191"/>
        <v>1</v>
      </c>
      <c r="BX53" s="706">
        <f t="shared" si="191"/>
        <v>1</v>
      </c>
      <c r="BY53" s="706">
        <f t="shared" si="191"/>
        <v>1</v>
      </c>
      <c r="BZ53" s="706">
        <f t="shared" si="191"/>
        <v>1</v>
      </c>
      <c r="CA53" s="706">
        <f t="shared" si="191"/>
        <v>1</v>
      </c>
      <c r="CB53" s="706">
        <f t="shared" si="191"/>
        <v>1</v>
      </c>
      <c r="CC53" s="706">
        <f t="shared" si="191"/>
        <v>1</v>
      </c>
      <c r="CD53" s="706">
        <f t="shared" si="191"/>
        <v>1</v>
      </c>
      <c r="CE53" s="706">
        <f t="shared" si="191"/>
        <v>1</v>
      </c>
      <c r="CF53" s="706">
        <f t="shared" si="191"/>
        <v>1</v>
      </c>
      <c r="CG53" s="706">
        <f t="shared" si="191"/>
        <v>1</v>
      </c>
      <c r="CH53" s="706">
        <f t="shared" si="191"/>
        <v>1</v>
      </c>
      <c r="CJ53" s="705">
        <f t="shared" si="178"/>
        <v>0.18540000000000001</v>
      </c>
      <c r="CK53" s="702">
        <v>4</v>
      </c>
      <c r="CL53" s="706">
        <f t="shared" si="179"/>
        <v>0</v>
      </c>
      <c r="CM53" s="706">
        <f t="shared" ref="CM53:DG53" si="192">CM44/$CJ53</f>
        <v>0</v>
      </c>
      <c r="CN53" s="706">
        <f t="shared" si="192"/>
        <v>0</v>
      </c>
      <c r="CO53" s="706">
        <f t="shared" si="192"/>
        <v>0</v>
      </c>
      <c r="CP53" s="706">
        <f t="shared" si="192"/>
        <v>0</v>
      </c>
      <c r="CQ53" s="706">
        <f t="shared" si="192"/>
        <v>0</v>
      </c>
      <c r="CR53" s="706">
        <f t="shared" si="192"/>
        <v>0</v>
      </c>
      <c r="CS53" s="706">
        <f t="shared" si="192"/>
        <v>0</v>
      </c>
      <c r="CT53" s="706">
        <f t="shared" si="192"/>
        <v>0</v>
      </c>
      <c r="CU53" s="706">
        <f t="shared" si="192"/>
        <v>0</v>
      </c>
      <c r="CV53" s="706">
        <f t="shared" si="192"/>
        <v>0</v>
      </c>
      <c r="CW53" s="706">
        <f t="shared" si="192"/>
        <v>0</v>
      </c>
      <c r="CX53" s="706">
        <f t="shared" si="192"/>
        <v>0</v>
      </c>
      <c r="CY53" s="706">
        <f t="shared" si="192"/>
        <v>0</v>
      </c>
      <c r="CZ53" s="706">
        <f t="shared" si="192"/>
        <v>0</v>
      </c>
      <c r="DA53" s="706">
        <f t="shared" si="192"/>
        <v>0</v>
      </c>
      <c r="DB53" s="706">
        <f t="shared" si="192"/>
        <v>0</v>
      </c>
      <c r="DC53" s="706">
        <f t="shared" si="192"/>
        <v>0</v>
      </c>
      <c r="DD53" s="706">
        <f t="shared" si="192"/>
        <v>0</v>
      </c>
      <c r="DE53" s="706">
        <f t="shared" si="192"/>
        <v>0</v>
      </c>
      <c r="DF53" s="706">
        <f t="shared" si="192"/>
        <v>0</v>
      </c>
      <c r="DG53" s="706">
        <f t="shared" si="192"/>
        <v>0</v>
      </c>
      <c r="DJ53" s="705">
        <f t="shared" si="181"/>
        <v>0.18540000000000001</v>
      </c>
      <c r="DK53" s="702">
        <v>4</v>
      </c>
      <c r="DL53" s="706">
        <f t="shared" si="182"/>
        <v>0</v>
      </c>
      <c r="DM53" s="706">
        <f t="shared" ref="DM53:EG53" si="193">DM44/$DJ53</f>
        <v>0.25</v>
      </c>
      <c r="DN53" s="706">
        <f t="shared" si="193"/>
        <v>0.5</v>
      </c>
      <c r="DO53" s="706">
        <f t="shared" si="193"/>
        <v>0.57416396979503781</v>
      </c>
      <c r="DP53" s="706">
        <f t="shared" si="193"/>
        <v>0.57416396979503781</v>
      </c>
      <c r="DQ53" s="706">
        <f t="shared" si="193"/>
        <v>0.57416396979503781</v>
      </c>
      <c r="DR53" s="706">
        <f t="shared" si="193"/>
        <v>0.57416396979503781</v>
      </c>
      <c r="DS53" s="706">
        <f t="shared" si="193"/>
        <v>0.625</v>
      </c>
      <c r="DT53" s="706">
        <f t="shared" si="193"/>
        <v>0.6991639697950377</v>
      </c>
      <c r="DU53" s="706">
        <f t="shared" si="193"/>
        <v>0.8241639697950377</v>
      </c>
      <c r="DV53" s="706">
        <f t="shared" si="193"/>
        <v>1</v>
      </c>
      <c r="DW53" s="706">
        <f t="shared" si="193"/>
        <v>1</v>
      </c>
      <c r="DX53" s="706">
        <f t="shared" si="193"/>
        <v>1</v>
      </c>
      <c r="DY53" s="706">
        <f t="shared" si="193"/>
        <v>1</v>
      </c>
      <c r="DZ53" s="706">
        <f t="shared" si="193"/>
        <v>1</v>
      </c>
      <c r="EA53" s="706">
        <f t="shared" si="193"/>
        <v>1</v>
      </c>
      <c r="EB53" s="706">
        <f t="shared" si="193"/>
        <v>1</v>
      </c>
      <c r="EC53" s="706">
        <f t="shared" si="193"/>
        <v>1</v>
      </c>
      <c r="ED53" s="706">
        <f t="shared" si="193"/>
        <v>1</v>
      </c>
      <c r="EE53" s="706">
        <f t="shared" si="193"/>
        <v>1</v>
      </c>
      <c r="EF53" s="706">
        <f t="shared" si="193"/>
        <v>1</v>
      </c>
      <c r="EG53" s="706">
        <f t="shared" si="193"/>
        <v>1</v>
      </c>
    </row>
    <row r="54" spans="1:137">
      <c r="G54" s="824" t="s">
        <v>207</v>
      </c>
      <c r="H54" s="822">
        <f t="shared" si="174"/>
        <v>46131</v>
      </c>
      <c r="I54" s="822">
        <f t="shared" si="175"/>
        <v>46173</v>
      </c>
      <c r="J54" s="820">
        <v>46131</v>
      </c>
      <c r="BK54" s="705">
        <f>F29</f>
        <v>0.18540000000000001</v>
      </c>
      <c r="BL54" s="702">
        <v>5</v>
      </c>
      <c r="BM54" s="706">
        <f t="shared" si="184"/>
        <v>0</v>
      </c>
      <c r="BN54" s="706">
        <f t="shared" ref="BN54:CH54" si="194">BN45/$BK54</f>
        <v>3.3333333333333333E-2</v>
      </c>
      <c r="BO54" s="706">
        <f t="shared" si="194"/>
        <v>0.05</v>
      </c>
      <c r="BP54" s="706">
        <f t="shared" si="194"/>
        <v>0.25</v>
      </c>
      <c r="BQ54" s="706">
        <f t="shared" si="194"/>
        <v>0.33333333333333331</v>
      </c>
      <c r="BR54" s="706">
        <f t="shared" si="194"/>
        <v>0.41666666666666663</v>
      </c>
      <c r="BS54" s="706">
        <f t="shared" si="194"/>
        <v>0.66666666666666663</v>
      </c>
      <c r="BT54" s="706">
        <f t="shared" si="194"/>
        <v>0.66666666666666663</v>
      </c>
      <c r="BU54" s="706">
        <f t="shared" si="194"/>
        <v>0.66666666666666663</v>
      </c>
      <c r="BV54" s="706">
        <f t="shared" si="194"/>
        <v>0.66666666666666663</v>
      </c>
      <c r="BW54" s="706">
        <f t="shared" si="194"/>
        <v>0.83333333333333326</v>
      </c>
      <c r="BX54" s="706">
        <f t="shared" si="194"/>
        <v>0.83333333333333326</v>
      </c>
      <c r="BY54" s="706">
        <f t="shared" si="194"/>
        <v>0.83333333333333326</v>
      </c>
      <c r="BZ54" s="706">
        <f t="shared" si="194"/>
        <v>1</v>
      </c>
      <c r="CA54" s="706">
        <f t="shared" si="194"/>
        <v>1</v>
      </c>
      <c r="CB54" s="706">
        <f t="shared" si="194"/>
        <v>1</v>
      </c>
      <c r="CC54" s="706">
        <f t="shared" si="194"/>
        <v>1</v>
      </c>
      <c r="CD54" s="706">
        <f t="shared" si="194"/>
        <v>1</v>
      </c>
      <c r="CE54" s="706">
        <f t="shared" si="194"/>
        <v>1</v>
      </c>
      <c r="CF54" s="706">
        <f t="shared" si="194"/>
        <v>1</v>
      </c>
      <c r="CG54" s="706">
        <f t="shared" si="194"/>
        <v>1</v>
      </c>
      <c r="CH54" s="706">
        <f t="shared" si="194"/>
        <v>1</v>
      </c>
      <c r="CJ54" s="705">
        <f t="shared" si="178"/>
        <v>0.18540000000000001</v>
      </c>
      <c r="CK54" s="702">
        <v>5</v>
      </c>
      <c r="CL54" s="706">
        <f t="shared" si="179"/>
        <v>0</v>
      </c>
      <c r="CM54" s="706">
        <f t="shared" ref="CM54:DG54" si="195">CM45/$CJ54</f>
        <v>0</v>
      </c>
      <c r="CN54" s="706">
        <f t="shared" si="195"/>
        <v>0</v>
      </c>
      <c r="CO54" s="706">
        <f t="shared" si="195"/>
        <v>0.16666666666666666</v>
      </c>
      <c r="CP54" s="706">
        <f t="shared" si="195"/>
        <v>0.16666666666666666</v>
      </c>
      <c r="CQ54" s="706">
        <f t="shared" si="195"/>
        <v>0.16666666666666666</v>
      </c>
      <c r="CR54" s="706">
        <f t="shared" si="195"/>
        <v>0.16666666666666666</v>
      </c>
      <c r="CS54" s="706">
        <f t="shared" si="195"/>
        <v>0.16666666666666666</v>
      </c>
      <c r="CT54" s="706">
        <f t="shared" si="195"/>
        <v>0.16666666666666666</v>
      </c>
      <c r="CU54" s="706">
        <f t="shared" si="195"/>
        <v>0.16666666666666666</v>
      </c>
      <c r="CV54" s="706">
        <f t="shared" si="195"/>
        <v>0.16666666666666666</v>
      </c>
      <c r="CW54" s="706">
        <f t="shared" si="195"/>
        <v>0.16666666666666666</v>
      </c>
      <c r="CX54" s="706">
        <f t="shared" si="195"/>
        <v>0.16666666666666666</v>
      </c>
      <c r="CY54" s="706">
        <f t="shared" si="195"/>
        <v>0.16666666666666666</v>
      </c>
      <c r="CZ54" s="706">
        <f t="shared" si="195"/>
        <v>0.16666666666666666</v>
      </c>
      <c r="DA54" s="706">
        <f t="shared" si="195"/>
        <v>0.16666666666666666</v>
      </c>
      <c r="DB54" s="706">
        <f t="shared" si="195"/>
        <v>0.16666666666666666</v>
      </c>
      <c r="DC54" s="706">
        <f t="shared" si="195"/>
        <v>0.16666666666666666</v>
      </c>
      <c r="DD54" s="706">
        <f t="shared" si="195"/>
        <v>0.16666666666666666</v>
      </c>
      <c r="DE54" s="706">
        <f t="shared" si="195"/>
        <v>0.16666666666666666</v>
      </c>
      <c r="DF54" s="706">
        <f t="shared" si="195"/>
        <v>0.16666666666666666</v>
      </c>
      <c r="DG54" s="706">
        <f t="shared" si="195"/>
        <v>0.16666666666666666</v>
      </c>
      <c r="DJ54" s="705">
        <f t="shared" si="181"/>
        <v>0.18540000000000001</v>
      </c>
      <c r="DK54" s="702">
        <v>5</v>
      </c>
      <c r="DL54" s="706">
        <f t="shared" si="182"/>
        <v>0</v>
      </c>
      <c r="DM54" s="706">
        <f t="shared" ref="DM54:EG54" si="196">DM45/$DJ54</f>
        <v>0</v>
      </c>
      <c r="DN54" s="706">
        <f t="shared" si="196"/>
        <v>1.6666666666666666E-2</v>
      </c>
      <c r="DO54" s="706">
        <f t="shared" si="196"/>
        <v>0.25</v>
      </c>
      <c r="DP54" s="706">
        <f t="shared" si="196"/>
        <v>0.33333333333333331</v>
      </c>
      <c r="DQ54" s="706">
        <f t="shared" si="196"/>
        <v>0.41666666666666663</v>
      </c>
      <c r="DR54" s="706">
        <f t="shared" si="196"/>
        <v>0.66666666666666663</v>
      </c>
      <c r="DS54" s="706">
        <f t="shared" si="196"/>
        <v>0.66666666666666663</v>
      </c>
      <c r="DT54" s="706">
        <f t="shared" si="196"/>
        <v>0.66666666666666663</v>
      </c>
      <c r="DU54" s="706">
        <f t="shared" si="196"/>
        <v>0.83333333333333326</v>
      </c>
      <c r="DV54" s="706">
        <f t="shared" si="196"/>
        <v>0.83333333333333326</v>
      </c>
      <c r="DW54" s="706">
        <f t="shared" si="196"/>
        <v>0.83333333333333326</v>
      </c>
      <c r="DX54" s="706">
        <f t="shared" si="196"/>
        <v>1</v>
      </c>
      <c r="DY54" s="706">
        <f t="shared" si="196"/>
        <v>1</v>
      </c>
      <c r="DZ54" s="706">
        <f t="shared" si="196"/>
        <v>1</v>
      </c>
      <c r="EA54" s="706">
        <f t="shared" si="196"/>
        <v>1</v>
      </c>
      <c r="EB54" s="706">
        <f t="shared" si="196"/>
        <v>1</v>
      </c>
      <c r="EC54" s="706">
        <f t="shared" si="196"/>
        <v>1</v>
      </c>
      <c r="ED54" s="706">
        <f t="shared" si="196"/>
        <v>1</v>
      </c>
      <c r="EE54" s="706">
        <f t="shared" si="196"/>
        <v>1</v>
      </c>
      <c r="EF54" s="706">
        <f t="shared" si="196"/>
        <v>1</v>
      </c>
      <c r="EG54" s="706">
        <f t="shared" si="196"/>
        <v>1</v>
      </c>
    </row>
    <row r="55" spans="1:137">
      <c r="G55" s="821" t="s">
        <v>208</v>
      </c>
      <c r="H55" s="822">
        <f t="shared" si="174"/>
        <v>46126</v>
      </c>
      <c r="I55" s="822">
        <f t="shared" si="175"/>
        <v>46203</v>
      </c>
      <c r="J55" s="820">
        <v>46126</v>
      </c>
      <c r="BK55" s="705">
        <f>F32</f>
        <v>0.31169999999999998</v>
      </c>
      <c r="BL55" s="702">
        <v>6</v>
      </c>
      <c r="BM55" s="706">
        <f t="shared" si="184"/>
        <v>0</v>
      </c>
      <c r="BN55" s="706">
        <f t="shared" ref="BN55:CH55" si="197">BN46/$BK55</f>
        <v>0</v>
      </c>
      <c r="BO55" s="706">
        <f t="shared" si="197"/>
        <v>0</v>
      </c>
      <c r="BP55" s="706">
        <f t="shared" si="197"/>
        <v>0</v>
      </c>
      <c r="BQ55" s="706">
        <f t="shared" si="197"/>
        <v>1.0619185113891563E-2</v>
      </c>
      <c r="BR55" s="706">
        <f t="shared" si="197"/>
        <v>1.0619185113891563E-2</v>
      </c>
      <c r="BS55" s="706">
        <f t="shared" si="197"/>
        <v>5.3095925569457809E-2</v>
      </c>
      <c r="BT55" s="706">
        <f t="shared" si="197"/>
        <v>5.3095925569457809E-2</v>
      </c>
      <c r="BU55" s="706">
        <f t="shared" si="197"/>
        <v>0.10619185113891562</v>
      </c>
      <c r="BV55" s="706">
        <f t="shared" si="197"/>
        <v>0.10619185113891562</v>
      </c>
      <c r="BW55" s="706">
        <f t="shared" si="197"/>
        <v>0.13809752967597047</v>
      </c>
      <c r="BX55" s="706">
        <f t="shared" si="197"/>
        <v>0.30943214629451399</v>
      </c>
      <c r="BY55" s="706">
        <f t="shared" si="197"/>
        <v>0.32441450112287457</v>
      </c>
      <c r="BZ55" s="706">
        <f t="shared" si="197"/>
        <v>0.55004812319538032</v>
      </c>
      <c r="CA55" s="706">
        <f t="shared" si="197"/>
        <v>0.55004812319538032</v>
      </c>
      <c r="CB55" s="706">
        <f t="shared" si="197"/>
        <v>0.73756817452678858</v>
      </c>
      <c r="CC55" s="706">
        <f t="shared" si="197"/>
        <v>0.81247994866859152</v>
      </c>
      <c r="CD55" s="706">
        <f t="shared" si="197"/>
        <v>1</v>
      </c>
      <c r="CE55" s="706">
        <f t="shared" si="197"/>
        <v>1</v>
      </c>
      <c r="CF55" s="706">
        <f t="shared" si="197"/>
        <v>1</v>
      </c>
      <c r="CG55" s="706">
        <f t="shared" si="197"/>
        <v>1</v>
      </c>
      <c r="CH55" s="706">
        <f t="shared" si="197"/>
        <v>1</v>
      </c>
      <c r="CJ55" s="705">
        <f t="shared" si="178"/>
        <v>0.31169999999999998</v>
      </c>
      <c r="CK55" s="702">
        <v>6</v>
      </c>
      <c r="CL55" s="706">
        <f t="shared" si="179"/>
        <v>0</v>
      </c>
      <c r="CM55" s="706">
        <f t="shared" ref="CM55:DF55" si="198">CM46/$CJ55</f>
        <v>0</v>
      </c>
      <c r="CN55" s="706">
        <f t="shared" si="198"/>
        <v>0</v>
      </c>
      <c r="CO55" s="706">
        <f t="shared" si="198"/>
        <v>0</v>
      </c>
      <c r="CP55" s="706">
        <f t="shared" si="198"/>
        <v>0</v>
      </c>
      <c r="CQ55" s="706">
        <f t="shared" si="198"/>
        <v>0</v>
      </c>
      <c r="CR55" s="706">
        <f t="shared" si="198"/>
        <v>0</v>
      </c>
      <c r="CS55" s="706">
        <f t="shared" si="198"/>
        <v>0</v>
      </c>
      <c r="CT55" s="706">
        <f t="shared" si="198"/>
        <v>0</v>
      </c>
      <c r="CU55" s="706">
        <f t="shared" si="198"/>
        <v>0</v>
      </c>
      <c r="CV55" s="706">
        <f t="shared" si="198"/>
        <v>0</v>
      </c>
      <c r="CW55" s="706">
        <f t="shared" si="198"/>
        <v>0</v>
      </c>
      <c r="CX55" s="706">
        <f t="shared" si="198"/>
        <v>0</v>
      </c>
      <c r="CY55" s="706">
        <f t="shared" si="198"/>
        <v>0</v>
      </c>
      <c r="CZ55" s="706">
        <f t="shared" si="198"/>
        <v>0</v>
      </c>
      <c r="DA55" s="706">
        <f t="shared" si="198"/>
        <v>0</v>
      </c>
      <c r="DB55" s="706">
        <f t="shared" si="198"/>
        <v>0</v>
      </c>
      <c r="DC55" s="706">
        <f t="shared" si="198"/>
        <v>0</v>
      </c>
      <c r="DD55" s="706">
        <f t="shared" si="198"/>
        <v>0</v>
      </c>
      <c r="DE55" s="706">
        <f t="shared" si="198"/>
        <v>0</v>
      </c>
      <c r="DF55" s="706">
        <f t="shared" si="198"/>
        <v>0</v>
      </c>
      <c r="DG55" s="706">
        <f>DG46/$CJ55</f>
        <v>0</v>
      </c>
      <c r="DJ55" s="705">
        <f t="shared" si="181"/>
        <v>0.31169999999999998</v>
      </c>
      <c r="DK55" s="702">
        <v>6</v>
      </c>
      <c r="DL55" s="706">
        <f t="shared" si="182"/>
        <v>0</v>
      </c>
      <c r="DM55" s="706">
        <f t="shared" ref="DM55:EG55" si="199">DM46/$DJ55</f>
        <v>0</v>
      </c>
      <c r="DN55" s="706">
        <f t="shared" si="199"/>
        <v>0</v>
      </c>
      <c r="DO55" s="706">
        <f t="shared" si="199"/>
        <v>0</v>
      </c>
      <c r="DP55" s="706">
        <f t="shared" si="199"/>
        <v>1.0619185113891563E-2</v>
      </c>
      <c r="DQ55" s="706">
        <f t="shared" si="199"/>
        <v>1.0619185113891563E-2</v>
      </c>
      <c r="DR55" s="706">
        <f t="shared" si="199"/>
        <v>5.3095925569457809E-2</v>
      </c>
      <c r="DS55" s="706">
        <f t="shared" si="199"/>
        <v>5.3095925569457809E-2</v>
      </c>
      <c r="DT55" s="706">
        <f t="shared" si="199"/>
        <v>0.10806865575874239</v>
      </c>
      <c r="DU55" s="706">
        <f t="shared" si="199"/>
        <v>0.13434392043631696</v>
      </c>
      <c r="DV55" s="706">
        <f t="shared" si="199"/>
        <v>0.28742380494064806</v>
      </c>
      <c r="DW55" s="706">
        <f t="shared" si="199"/>
        <v>0.55004812319538032</v>
      </c>
      <c r="DX55" s="706">
        <f t="shared" si="199"/>
        <v>0.55004812319538032</v>
      </c>
      <c r="DY55" s="706">
        <f t="shared" si="199"/>
        <v>0.73756817452678858</v>
      </c>
      <c r="DZ55" s="706">
        <f t="shared" si="199"/>
        <v>0.73756817452678858</v>
      </c>
      <c r="EA55" s="706">
        <f t="shared" si="199"/>
        <v>0.73756817452678858</v>
      </c>
      <c r="EB55" s="706">
        <f t="shared" si="199"/>
        <v>0.73756817452678858</v>
      </c>
      <c r="EC55" s="706">
        <f t="shared" si="199"/>
        <v>0.73756817452678858</v>
      </c>
      <c r="ED55" s="706">
        <f t="shared" si="199"/>
        <v>0.73756817452678858</v>
      </c>
      <c r="EE55" s="706">
        <f t="shared" si="199"/>
        <v>0.73756817452678858</v>
      </c>
      <c r="EF55" s="706">
        <f t="shared" si="199"/>
        <v>0.73756817452678858</v>
      </c>
      <c r="EG55" s="706">
        <f t="shared" si="199"/>
        <v>0.73756817452678858</v>
      </c>
    </row>
    <row r="56" spans="1:137">
      <c r="G56" s="684">
        <v>4</v>
      </c>
      <c r="H56" s="820"/>
      <c r="I56" s="820"/>
      <c r="J56" s="820"/>
      <c r="BK56" s="705">
        <f>SUM(BK50:BK55)</f>
        <v>1</v>
      </c>
      <c r="BL56" s="702" t="s">
        <v>31</v>
      </c>
      <c r="BM56" s="704">
        <f t="shared" si="184"/>
        <v>0</v>
      </c>
      <c r="BN56" s="704">
        <f t="shared" ref="BN56:CH56" si="200">BN47/$BK56</f>
        <v>6.3355000000000009E-2</v>
      </c>
      <c r="BO56" s="704">
        <f t="shared" si="200"/>
        <v>0.10044500000000001</v>
      </c>
      <c r="BP56" s="704">
        <f t="shared" si="200"/>
        <v>0.17152500000000001</v>
      </c>
      <c r="BQ56" s="704">
        <f t="shared" si="200"/>
        <v>0.21412</v>
      </c>
      <c r="BR56" s="704">
        <f t="shared" si="200"/>
        <v>0.26306999999999997</v>
      </c>
      <c r="BS56" s="704">
        <f t="shared" si="200"/>
        <v>0.38564999999999999</v>
      </c>
      <c r="BT56" s="704">
        <f t="shared" si="200"/>
        <v>0.47387500000000005</v>
      </c>
      <c r="BU56" s="704">
        <f t="shared" si="200"/>
        <v>0.55805000000000005</v>
      </c>
      <c r="BV56" s="704">
        <f t="shared" si="200"/>
        <v>0.59152500000000008</v>
      </c>
      <c r="BW56" s="704">
        <f t="shared" si="200"/>
        <v>0.68731999999999993</v>
      </c>
      <c r="BX56" s="704">
        <f t="shared" si="200"/>
        <v>0.74509999999999998</v>
      </c>
      <c r="BY56" s="704">
        <f t="shared" si="200"/>
        <v>0.75414499999999995</v>
      </c>
      <c r="BZ56" s="704">
        <f t="shared" si="200"/>
        <v>0.85975000000000001</v>
      </c>
      <c r="CA56" s="704">
        <f t="shared" si="200"/>
        <v>0.85975000000000001</v>
      </c>
      <c r="CB56" s="704">
        <f t="shared" si="200"/>
        <v>0.91820000000000002</v>
      </c>
      <c r="CC56" s="704">
        <f t="shared" si="200"/>
        <v>0.94155</v>
      </c>
      <c r="CD56" s="704">
        <f t="shared" si="200"/>
        <v>1</v>
      </c>
      <c r="CE56" s="704">
        <f t="shared" si="200"/>
        <v>1</v>
      </c>
      <c r="CF56" s="704">
        <f t="shared" si="200"/>
        <v>1</v>
      </c>
      <c r="CG56" s="704">
        <f t="shared" si="200"/>
        <v>1</v>
      </c>
      <c r="CH56" s="704">
        <f t="shared" si="200"/>
        <v>1</v>
      </c>
      <c r="CJ56" s="705">
        <f t="shared" si="178"/>
        <v>1</v>
      </c>
      <c r="CK56" s="702" t="s">
        <v>31</v>
      </c>
      <c r="CL56" s="704">
        <f t="shared" si="179"/>
        <v>0</v>
      </c>
      <c r="CM56" s="704">
        <f t="shared" ref="CM56:DG56" si="201">CM47/$CJ56</f>
        <v>0</v>
      </c>
      <c r="CN56" s="704">
        <f t="shared" si="201"/>
        <v>0</v>
      </c>
      <c r="CO56" s="704">
        <f t="shared" si="201"/>
        <v>3.09E-2</v>
      </c>
      <c r="CP56" s="704">
        <f t="shared" si="201"/>
        <v>3.09E-2</v>
      </c>
      <c r="CQ56" s="704">
        <f t="shared" si="201"/>
        <v>3.09E-2</v>
      </c>
      <c r="CR56" s="704">
        <f t="shared" si="201"/>
        <v>3.09E-2</v>
      </c>
      <c r="CS56" s="704">
        <f t="shared" si="201"/>
        <v>3.09E-2</v>
      </c>
      <c r="CT56" s="704">
        <f t="shared" si="201"/>
        <v>3.09E-2</v>
      </c>
      <c r="CU56" s="704">
        <f t="shared" si="201"/>
        <v>3.09E-2</v>
      </c>
      <c r="CV56" s="704">
        <f t="shared" si="201"/>
        <v>3.09E-2</v>
      </c>
      <c r="CW56" s="704">
        <f t="shared" si="201"/>
        <v>3.09E-2</v>
      </c>
      <c r="CX56" s="704">
        <f t="shared" si="201"/>
        <v>3.09E-2</v>
      </c>
      <c r="CY56" s="704">
        <f t="shared" si="201"/>
        <v>3.09E-2</v>
      </c>
      <c r="CZ56" s="704">
        <f t="shared" si="201"/>
        <v>6.9525000000000003E-2</v>
      </c>
      <c r="DA56" s="704">
        <f t="shared" si="201"/>
        <v>6.9525000000000003E-2</v>
      </c>
      <c r="DB56" s="704">
        <f t="shared" si="201"/>
        <v>6.9525000000000003E-2</v>
      </c>
      <c r="DC56" s="704">
        <f t="shared" si="201"/>
        <v>6.9525000000000003E-2</v>
      </c>
      <c r="DD56" s="704">
        <f t="shared" si="201"/>
        <v>6.9525000000000003E-2</v>
      </c>
      <c r="DE56" s="704">
        <f t="shared" si="201"/>
        <v>6.9525000000000003E-2</v>
      </c>
      <c r="DF56" s="704">
        <f t="shared" si="201"/>
        <v>6.9525000000000003E-2</v>
      </c>
      <c r="DG56" s="704">
        <f t="shared" si="201"/>
        <v>6.9525000000000003E-2</v>
      </c>
      <c r="DJ56" s="705">
        <f t="shared" si="181"/>
        <v>1</v>
      </c>
      <c r="DK56" s="702" t="s">
        <v>31</v>
      </c>
      <c r="DL56" s="704">
        <f t="shared" si="182"/>
        <v>0</v>
      </c>
      <c r="DM56" s="704">
        <f t="shared" ref="DM56:EG56" si="202">DM47/$DJ56</f>
        <v>0.217725</v>
      </c>
      <c r="DN56" s="704">
        <f t="shared" si="202"/>
        <v>0.36179</v>
      </c>
      <c r="DO56" s="704">
        <f t="shared" si="202"/>
        <v>0.41880000000000006</v>
      </c>
      <c r="DP56" s="704">
        <f t="shared" si="202"/>
        <v>0.43756000000000006</v>
      </c>
      <c r="DQ56" s="704">
        <f t="shared" si="202"/>
        <v>0.45301000000000002</v>
      </c>
      <c r="DR56" s="704">
        <f t="shared" si="202"/>
        <v>0.51260000000000006</v>
      </c>
      <c r="DS56" s="704">
        <f t="shared" si="202"/>
        <v>0.52202499999999996</v>
      </c>
      <c r="DT56" s="704">
        <f t="shared" si="202"/>
        <v>0.55291000000000001</v>
      </c>
      <c r="DU56" s="704">
        <f t="shared" si="202"/>
        <v>0.61517500000000003</v>
      </c>
      <c r="DV56" s="704">
        <f t="shared" si="202"/>
        <v>0.69548999999999994</v>
      </c>
      <c r="DW56" s="704">
        <f t="shared" si="202"/>
        <v>0.77734999999999999</v>
      </c>
      <c r="DX56" s="704">
        <f t="shared" si="202"/>
        <v>0.80825000000000002</v>
      </c>
      <c r="DY56" s="704">
        <f t="shared" si="202"/>
        <v>0.86670000000000003</v>
      </c>
      <c r="DZ56" s="704">
        <f t="shared" si="202"/>
        <v>0.86670000000000003</v>
      </c>
      <c r="EA56" s="704">
        <f t="shared" si="202"/>
        <v>0.86670000000000003</v>
      </c>
      <c r="EB56" s="704">
        <f t="shared" si="202"/>
        <v>0.86670000000000003</v>
      </c>
      <c r="EC56" s="704">
        <f t="shared" si="202"/>
        <v>0.86670000000000003</v>
      </c>
      <c r="ED56" s="704">
        <f t="shared" si="202"/>
        <v>0.86670000000000003</v>
      </c>
      <c r="EE56" s="704">
        <f t="shared" si="202"/>
        <v>0.86670000000000003</v>
      </c>
      <c r="EF56" s="704">
        <f t="shared" si="202"/>
        <v>0.86670000000000003</v>
      </c>
      <c r="EG56" s="704">
        <f t="shared" si="202"/>
        <v>0.86670000000000003</v>
      </c>
    </row>
    <row r="57" spans="1:137">
      <c r="G57" s="686" t="s">
        <v>221</v>
      </c>
      <c r="H57" s="820">
        <f t="shared" si="174"/>
        <v>46184</v>
      </c>
      <c r="I57" s="820">
        <f t="shared" si="175"/>
        <v>46187</v>
      </c>
      <c r="J57" s="820">
        <v>46184</v>
      </c>
    </row>
    <row r="58" spans="1:137">
      <c r="G58" s="686" t="s">
        <v>222</v>
      </c>
      <c r="H58" s="820">
        <f t="shared" si="174"/>
        <v>46173</v>
      </c>
      <c r="I58" s="820">
        <f t="shared" si="175"/>
        <v>46173</v>
      </c>
      <c r="J58" s="820">
        <v>46173</v>
      </c>
    </row>
    <row r="59" spans="1:137">
      <c r="G59" s="686" t="s">
        <v>223</v>
      </c>
      <c r="H59" s="820">
        <f t="shared" si="174"/>
        <v>46184</v>
      </c>
      <c r="I59" s="820">
        <f t="shared" si="175"/>
        <v>46187</v>
      </c>
      <c r="J59" s="820">
        <v>46184</v>
      </c>
    </row>
    <row r="60" spans="1:137">
      <c r="G60" s="684">
        <v>5</v>
      </c>
      <c r="H60" s="820"/>
      <c r="I60" s="820"/>
      <c r="J60" s="820"/>
    </row>
    <row r="61" spans="1:137">
      <c r="G61" s="686" t="s">
        <v>224</v>
      </c>
      <c r="H61" s="820">
        <f t="shared" si="174"/>
        <v>46156</v>
      </c>
      <c r="I61" s="820">
        <f t="shared" si="175"/>
        <v>46156</v>
      </c>
      <c r="J61" s="820">
        <v>46156</v>
      </c>
    </row>
    <row r="62" spans="1:137">
      <c r="G62" s="686" t="s">
        <v>225</v>
      </c>
      <c r="H62" s="820">
        <f t="shared" si="174"/>
        <v>46198</v>
      </c>
      <c r="I62" s="820">
        <f t="shared" si="175"/>
        <v>46203</v>
      </c>
      <c r="J62" s="820">
        <v>46198</v>
      </c>
    </row>
    <row r="63" spans="1:137">
      <c r="G63" s="684">
        <v>6</v>
      </c>
      <c r="H63" s="820"/>
      <c r="I63" s="820"/>
      <c r="J63" s="820"/>
    </row>
    <row r="64" spans="1:137">
      <c r="G64" s="686" t="s">
        <v>226</v>
      </c>
      <c r="H64" s="820">
        <f t="shared" si="174"/>
        <v>46187</v>
      </c>
      <c r="I64" s="820">
        <f t="shared" si="175"/>
        <v>46194</v>
      </c>
      <c r="J64" s="820">
        <v>46187</v>
      </c>
    </row>
    <row r="65" spans="7:10">
      <c r="G65" s="686" t="s">
        <v>227</v>
      </c>
      <c r="H65" s="820">
        <f t="shared" si="174"/>
        <v>46187</v>
      </c>
      <c r="I65" s="820">
        <f t="shared" si="175"/>
        <v>46203</v>
      </c>
      <c r="J65" s="820">
        <v>46187</v>
      </c>
    </row>
    <row r="66" spans="7:10">
      <c r="G66" s="686" t="s">
        <v>228</v>
      </c>
      <c r="H66" s="820">
        <f t="shared" si="174"/>
        <v>46204</v>
      </c>
      <c r="I66" s="820">
        <f t="shared" si="175"/>
        <v>46233</v>
      </c>
      <c r="J66" s="820">
        <v>46192</v>
      </c>
    </row>
    <row r="67" spans="7:10">
      <c r="G67" s="686" t="s">
        <v>229</v>
      </c>
      <c r="H67" s="820">
        <f t="shared" si="174"/>
        <v>46202</v>
      </c>
      <c r="I67" s="820">
        <f t="shared" si="175"/>
        <v>46234</v>
      </c>
      <c r="J67" s="820">
        <v>46191</v>
      </c>
    </row>
  </sheetData>
  <autoFilter ref="A14:D14" xr:uid="{5B3E29D0-1696-9144-B587-A8CD1FE81D31}"/>
  <mergeCells count="39">
    <mergeCell ref="J2:N3"/>
    <mergeCell ref="O11:R11"/>
    <mergeCell ref="A11:D11"/>
    <mergeCell ref="AB11:AD12"/>
    <mergeCell ref="H11:J11"/>
    <mergeCell ref="K11:N11"/>
    <mergeCell ref="S9:V9"/>
    <mergeCell ref="W9:AA9"/>
    <mergeCell ref="AB9:AD10"/>
    <mergeCell ref="K10:N10"/>
    <mergeCell ref="O10:R10"/>
    <mergeCell ref="S10:V10"/>
    <mergeCell ref="W10:AA10"/>
    <mergeCell ref="E9:E12"/>
    <mergeCell ref="F9:F12"/>
    <mergeCell ref="H9:J10"/>
    <mergeCell ref="K9:N9"/>
    <mergeCell ref="O9:R9"/>
    <mergeCell ref="AG12:AI12"/>
    <mergeCell ref="AR12:AR13"/>
    <mergeCell ref="AS12:AS13"/>
    <mergeCell ref="AT12:AU12"/>
    <mergeCell ref="AE10:AE12"/>
    <mergeCell ref="S11:V11"/>
    <mergeCell ref="W11:AA11"/>
    <mergeCell ref="CK8:DH9"/>
    <mergeCell ref="AG9:AQ10"/>
    <mergeCell ref="AR10:AU10"/>
    <mergeCell ref="AG11:AL11"/>
    <mergeCell ref="AN11:AQ11"/>
    <mergeCell ref="AR11:AU11"/>
    <mergeCell ref="DK8:EH9"/>
    <mergeCell ref="DL5:DL6"/>
    <mergeCell ref="BM5:BM6"/>
    <mergeCell ref="BD9:BD11"/>
    <mergeCell ref="BL8:CI9"/>
    <mergeCell ref="BE9:BF10"/>
    <mergeCell ref="BG9:BH10"/>
    <mergeCell ref="BI9:BJ10"/>
  </mergeCells>
  <pageMargins left="0.7" right="0.7" top="0.75" bottom="0.75" header="0.3" footer="0.3"/>
  <pageSetup paperSize="9" scale="32" orientation="portrait" horizontalDpi="0" verticalDpi="0"/>
  <colBreaks count="2" manualBreakCount="2">
    <brk id="7" max="37" man="1"/>
    <brk id="18" max="37" man="1"/>
  </col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AG470"/>
  <sheetViews>
    <sheetView view="pageBreakPreview" topLeftCell="A8" zoomScale="75" zoomScaleNormal="100" zoomScaleSheetLayoutView="50" workbookViewId="0">
      <selection activeCell="A27" sqref="A27:P27"/>
    </sheetView>
  </sheetViews>
  <sheetFormatPr baseColWidth="10" defaultColWidth="9.1640625" defaultRowHeight="14"/>
  <cols>
    <col min="1" max="1" width="7.83203125" style="249" customWidth="1"/>
    <col min="2" max="2" width="6.5" style="249" customWidth="1"/>
    <col min="3" max="3" width="18.5" style="249" bestFit="1" customWidth="1"/>
    <col min="4" max="4" width="11.83203125" style="251" customWidth="1"/>
    <col min="5" max="14" width="11.83203125" style="249" customWidth="1"/>
    <col min="15" max="18" width="5.83203125" style="249" customWidth="1"/>
    <col min="19" max="19" width="8.83203125" style="249" customWidth="1"/>
    <col min="20" max="20" width="9.83203125" style="249" customWidth="1"/>
    <col min="21" max="26" width="5.83203125" style="249" customWidth="1"/>
    <col min="27" max="27" width="6.83203125" style="249" customWidth="1"/>
    <col min="28" max="28" width="15.83203125" style="249" customWidth="1"/>
    <col min="29" max="29" width="12.83203125" style="249" customWidth="1"/>
    <col min="30" max="30" width="10.83203125" style="249" customWidth="1"/>
    <col min="31" max="31" width="4.83203125" style="249" customWidth="1"/>
    <col min="32" max="51" width="9.1640625" style="249"/>
    <col min="52" max="52" width="26.1640625" style="249" customWidth="1"/>
    <col min="53" max="16384" width="9.1640625" style="249"/>
  </cols>
  <sheetData>
    <row r="1" spans="1:32" ht="20.25" customHeight="1">
      <c r="A1" s="1046"/>
      <c r="B1" s="1047"/>
      <c r="C1" s="1047"/>
      <c r="D1" s="904" t="str">
        <f>TOC!E1</f>
        <v>PERTAMINA EP</v>
      </c>
      <c r="E1" s="905"/>
      <c r="F1" s="905"/>
      <c r="G1" s="905"/>
      <c r="H1" s="905"/>
      <c r="I1" s="905"/>
      <c r="J1" s="905"/>
      <c r="K1" s="905"/>
      <c r="L1" s="905"/>
      <c r="M1" s="905"/>
      <c r="N1" s="905"/>
      <c r="O1" s="905"/>
      <c r="P1" s="906"/>
      <c r="Q1" s="247"/>
      <c r="R1" s="247"/>
      <c r="S1" s="247"/>
      <c r="T1" s="247"/>
      <c r="U1" s="247"/>
      <c r="V1" s="247"/>
      <c r="W1" s="247"/>
      <c r="X1" s="247"/>
      <c r="Y1" s="247"/>
      <c r="Z1" s="247"/>
      <c r="AA1" s="247"/>
      <c r="AB1" s="247"/>
      <c r="AC1" s="247"/>
      <c r="AD1" s="247"/>
      <c r="AE1" s="247"/>
      <c r="AF1" s="248"/>
    </row>
    <row r="2" spans="1:32" ht="20.25" customHeight="1">
      <c r="A2" s="1048"/>
      <c r="B2" s="1049"/>
      <c r="C2" s="1049"/>
      <c r="D2" s="954"/>
      <c r="E2" s="955"/>
      <c r="F2" s="955"/>
      <c r="G2" s="955"/>
      <c r="H2" s="955"/>
      <c r="I2" s="955"/>
      <c r="J2" s="955"/>
      <c r="K2" s="955"/>
      <c r="L2" s="955"/>
      <c r="M2" s="955"/>
      <c r="N2" s="955"/>
      <c r="O2" s="955"/>
      <c r="P2" s="956"/>
      <c r="Q2" s="247"/>
      <c r="R2" s="247"/>
      <c r="S2" s="247"/>
      <c r="T2" s="247"/>
      <c r="U2" s="247"/>
      <c r="V2" s="247"/>
      <c r="W2" s="247"/>
      <c r="X2" s="247"/>
      <c r="Y2" s="247"/>
      <c r="Z2" s="247"/>
      <c r="AA2" s="247"/>
      <c r="AB2" s="247"/>
      <c r="AC2" s="247"/>
      <c r="AD2" s="247"/>
      <c r="AE2" s="247"/>
      <c r="AF2" s="250"/>
    </row>
    <row r="3" spans="1:32" ht="20.25" customHeight="1">
      <c r="A3" s="1050"/>
      <c r="B3" s="1051"/>
      <c r="C3" s="1051"/>
      <c r="D3" s="36" t="s">
        <v>48</v>
      </c>
      <c r="E3" s="121"/>
      <c r="F3" s="121"/>
      <c r="G3" s="121"/>
      <c r="H3" s="121"/>
      <c r="I3" s="121"/>
      <c r="J3" s="121"/>
      <c r="K3" s="122"/>
      <c r="L3" s="38" t="s">
        <v>49</v>
      </c>
      <c r="M3" s="123"/>
      <c r="N3" s="123"/>
      <c r="O3" s="123"/>
      <c r="P3" s="124"/>
      <c r="Q3" s="251"/>
      <c r="R3" s="251"/>
      <c r="S3" s="251"/>
      <c r="T3" s="251"/>
      <c r="U3" s="251"/>
      <c r="V3" s="251"/>
      <c r="W3" s="251"/>
      <c r="X3" s="251"/>
      <c r="Y3" s="251"/>
      <c r="Z3" s="251"/>
      <c r="AA3" s="251"/>
      <c r="AB3" s="251"/>
      <c r="AC3" s="252"/>
      <c r="AD3" s="252"/>
      <c r="AE3" s="252"/>
      <c r="AF3" s="250"/>
    </row>
    <row r="4" spans="1:32" s="254" customFormat="1" ht="20.25" customHeight="1">
      <c r="A4" s="1052"/>
      <c r="B4" s="1053"/>
      <c r="C4" s="1053"/>
      <c r="D4" s="40" t="str">
        <f>'Cover Report'!Z1</f>
        <v>Integrated Management Dashboard Production &amp; Project Zona 13</v>
      </c>
      <c r="E4" s="127"/>
      <c r="F4" s="127"/>
      <c r="G4" s="127"/>
      <c r="H4" s="127"/>
      <c r="I4" s="127"/>
      <c r="J4" s="127"/>
      <c r="K4" s="128"/>
      <c r="L4" s="40" t="str">
        <f>'Cover Report'!Z5</f>
        <v>W2026I-DNGF-EM-100-PRG-WLY-0012</v>
      </c>
      <c r="M4" s="129"/>
      <c r="N4" s="129"/>
      <c r="O4" s="129"/>
      <c r="P4" s="130"/>
      <c r="Q4" s="251"/>
      <c r="R4" s="251"/>
      <c r="S4" s="251"/>
      <c r="T4" s="251"/>
      <c r="U4" s="251"/>
      <c r="V4" s="251"/>
      <c r="W4" s="251"/>
      <c r="X4" s="251"/>
      <c r="Y4" s="251"/>
      <c r="Z4" s="251"/>
      <c r="AA4" s="251"/>
      <c r="AB4" s="251"/>
      <c r="AC4" s="252"/>
      <c r="AD4" s="252"/>
      <c r="AE4" s="252"/>
      <c r="AF4" s="253"/>
    </row>
    <row r="5" spans="1:32" ht="20.25" customHeight="1">
      <c r="A5" s="1048"/>
      <c r="B5" s="1049"/>
      <c r="C5" s="1049"/>
      <c r="D5" s="38" t="s">
        <v>50</v>
      </c>
      <c r="E5" s="133"/>
      <c r="F5" s="133"/>
      <c r="G5" s="133"/>
      <c r="H5" s="133"/>
      <c r="I5" s="133"/>
      <c r="J5" s="133"/>
      <c r="K5" s="134"/>
      <c r="L5" s="919" t="s">
        <v>86</v>
      </c>
      <c r="M5" s="920"/>
      <c r="N5" s="920"/>
      <c r="O5" s="920"/>
      <c r="P5" s="921"/>
      <c r="Q5" s="255"/>
      <c r="R5" s="255"/>
      <c r="S5" s="255"/>
      <c r="T5" s="255"/>
      <c r="U5" s="255"/>
      <c r="V5" s="255"/>
      <c r="W5" s="255"/>
      <c r="X5" s="255"/>
      <c r="Y5" s="255"/>
      <c r="Z5" s="255"/>
      <c r="AA5" s="255"/>
      <c r="AB5" s="255"/>
      <c r="AC5" s="255"/>
      <c r="AD5" s="255"/>
      <c r="AE5" s="255"/>
      <c r="AF5" s="250"/>
    </row>
    <row r="6" spans="1:32" ht="20.25" customHeight="1">
      <c r="A6" s="1054"/>
      <c r="B6" s="1055"/>
      <c r="C6" s="1055"/>
      <c r="D6" s="40" t="str">
        <f>TOC!E6</f>
        <v xml:space="preserve">Weekly Report </v>
      </c>
      <c r="E6" s="136"/>
      <c r="F6" s="136"/>
      <c r="G6" s="136"/>
      <c r="H6" s="136"/>
      <c r="I6" s="136"/>
      <c r="J6" s="136"/>
      <c r="K6" s="137"/>
      <c r="L6" s="922"/>
      <c r="M6" s="923"/>
      <c r="N6" s="923"/>
      <c r="O6" s="923"/>
      <c r="P6" s="924"/>
      <c r="Q6" s="255"/>
      <c r="R6" s="255"/>
      <c r="S6" s="255"/>
      <c r="T6" s="255"/>
      <c r="U6" s="255"/>
      <c r="V6" s="255"/>
      <c r="W6" s="255"/>
      <c r="X6" s="255"/>
      <c r="Y6" s="255"/>
      <c r="Z6" s="255"/>
      <c r="AA6" s="255"/>
      <c r="AB6" s="255"/>
      <c r="AC6" s="255"/>
      <c r="AD6" s="255"/>
      <c r="AE6" s="255"/>
      <c r="AF6" s="250"/>
    </row>
    <row r="7" spans="1:32" ht="13" customHeight="1">
      <c r="A7" s="256"/>
      <c r="B7" s="257"/>
      <c r="C7" s="257"/>
      <c r="D7" s="257"/>
      <c r="E7" s="257"/>
      <c r="F7" s="257"/>
      <c r="G7" s="257"/>
      <c r="H7" s="258"/>
      <c r="I7" s="258"/>
      <c r="J7" s="258"/>
      <c r="K7" s="258"/>
      <c r="L7" s="258"/>
      <c r="M7" s="258"/>
      <c r="N7" s="258"/>
      <c r="O7" s="258"/>
      <c r="P7" s="259"/>
      <c r="Q7" s="251"/>
      <c r="R7" s="251"/>
      <c r="S7" s="251"/>
      <c r="T7" s="251"/>
      <c r="U7" s="251"/>
      <c r="V7" s="251"/>
      <c r="W7" s="251"/>
      <c r="X7" s="251"/>
      <c r="Y7" s="251"/>
      <c r="Z7" s="251"/>
      <c r="AA7" s="251"/>
      <c r="AB7" s="251"/>
      <c r="AC7" s="260"/>
      <c r="AD7" s="260"/>
      <c r="AE7" s="260"/>
      <c r="AF7" s="250"/>
    </row>
    <row r="8" spans="1:32" ht="20.25" customHeight="1">
      <c r="A8" s="261"/>
      <c r="B8" s="262"/>
      <c r="C8" s="262"/>
      <c r="D8" s="262"/>
      <c r="E8" s="262"/>
      <c r="F8" s="262"/>
      <c r="G8" s="262"/>
      <c r="H8" s="262"/>
      <c r="I8" s="262"/>
      <c r="J8" s="262"/>
      <c r="K8" s="262"/>
      <c r="L8" s="262"/>
      <c r="M8" s="262"/>
      <c r="N8" s="262"/>
      <c r="O8" s="262"/>
      <c r="P8" s="263"/>
      <c r="Q8" s="262"/>
      <c r="R8" s="262"/>
      <c r="S8" s="262"/>
      <c r="T8" s="262"/>
      <c r="U8" s="262"/>
      <c r="V8" s="262"/>
      <c r="W8" s="262"/>
      <c r="X8" s="262"/>
      <c r="Y8" s="262"/>
      <c r="Z8" s="262"/>
      <c r="AA8" s="262"/>
      <c r="AB8" s="262"/>
      <c r="AC8" s="262"/>
      <c r="AD8" s="262"/>
      <c r="AE8" s="262"/>
      <c r="AF8" s="248"/>
    </row>
    <row r="9" spans="1:32" ht="29.25" customHeight="1">
      <c r="A9" s="264"/>
      <c r="B9" s="265"/>
      <c r="C9" s="265"/>
      <c r="D9" s="265"/>
      <c r="E9" s="265"/>
      <c r="F9" s="265"/>
      <c r="G9" s="265"/>
      <c r="H9" s="265"/>
      <c r="I9" s="265"/>
      <c r="J9" s="265"/>
      <c r="K9" s="265"/>
      <c r="L9" s="265"/>
      <c r="M9" s="265"/>
      <c r="N9" s="265"/>
      <c r="O9" s="265"/>
      <c r="P9" s="266"/>
      <c r="Q9" s="265"/>
      <c r="R9" s="265"/>
      <c r="S9" s="265"/>
      <c r="T9" s="265"/>
      <c r="U9" s="265"/>
      <c r="V9" s="265"/>
      <c r="W9" s="265"/>
      <c r="X9" s="265"/>
      <c r="Y9" s="265"/>
      <c r="Z9" s="265"/>
      <c r="AA9" s="265"/>
      <c r="AB9" s="265"/>
      <c r="AC9" s="265"/>
      <c r="AD9" s="265"/>
      <c r="AE9" s="265"/>
      <c r="AF9" s="248"/>
    </row>
    <row r="10" spans="1:32" ht="30" customHeight="1">
      <c r="A10" s="267"/>
      <c r="B10" s="268"/>
      <c r="C10" s="268"/>
      <c r="D10" s="268"/>
      <c r="E10" s="268"/>
      <c r="F10" s="268"/>
      <c r="G10" s="268"/>
      <c r="H10" s="268"/>
      <c r="I10" s="268"/>
      <c r="J10" s="268"/>
      <c r="K10" s="268"/>
      <c r="L10" s="268"/>
      <c r="M10" s="268"/>
      <c r="N10" s="268"/>
      <c r="O10" s="268"/>
      <c r="P10" s="269"/>
      <c r="Q10" s="270"/>
      <c r="R10" s="270"/>
      <c r="S10" s="270"/>
      <c r="T10" s="270"/>
      <c r="U10" s="270"/>
      <c r="V10" s="270"/>
      <c r="W10" s="270"/>
      <c r="X10" s="270"/>
      <c r="Y10" s="270"/>
      <c r="Z10" s="270"/>
      <c r="AA10" s="270"/>
      <c r="AB10" s="270"/>
      <c r="AC10" s="270"/>
      <c r="AD10" s="270"/>
      <c r="AE10" s="270"/>
      <c r="AF10" s="248"/>
    </row>
    <row r="11" spans="1:32" ht="20.25" customHeight="1">
      <c r="A11" s="271"/>
      <c r="B11" s="272"/>
      <c r="C11" s="272"/>
      <c r="D11" s="272"/>
      <c r="E11" s="272"/>
      <c r="F11" s="272"/>
      <c r="G11" s="272"/>
      <c r="H11" s="272"/>
      <c r="I11" s="272"/>
      <c r="J11" s="272"/>
      <c r="K11" s="272"/>
      <c r="L11" s="272"/>
      <c r="M11" s="272"/>
      <c r="N11" s="272"/>
      <c r="O11" s="272"/>
      <c r="P11" s="273"/>
      <c r="Q11" s="274"/>
      <c r="R11" s="274"/>
      <c r="S11" s="274"/>
      <c r="T11" s="274"/>
      <c r="U11" s="274"/>
      <c r="V11" s="274"/>
      <c r="W11" s="274"/>
      <c r="X11" s="274"/>
      <c r="Y11" s="274"/>
      <c r="Z11" s="274"/>
      <c r="AA11" s="274"/>
      <c r="AB11" s="274"/>
      <c r="AC11" s="274"/>
      <c r="AD11" s="274"/>
      <c r="AE11" s="274"/>
      <c r="AF11" s="248"/>
    </row>
    <row r="12" spans="1:32" ht="25" customHeight="1">
      <c r="A12" s="275"/>
      <c r="B12" s="247"/>
      <c r="C12" s="247"/>
      <c r="D12" s="247"/>
      <c r="E12" s="247"/>
      <c r="F12" s="247"/>
      <c r="G12" s="247"/>
      <c r="H12" s="247"/>
      <c r="I12" s="247"/>
      <c r="J12" s="247"/>
      <c r="K12" s="247"/>
      <c r="L12" s="247"/>
      <c r="M12" s="247"/>
      <c r="N12" s="247"/>
      <c r="O12" s="247"/>
      <c r="P12" s="276"/>
      <c r="Q12" s="247"/>
      <c r="R12" s="247"/>
      <c r="S12" s="247"/>
      <c r="T12" s="247"/>
      <c r="U12" s="247"/>
      <c r="V12" s="247"/>
      <c r="W12" s="247"/>
      <c r="X12" s="247"/>
      <c r="Y12" s="247"/>
      <c r="Z12" s="247"/>
      <c r="AA12" s="247"/>
      <c r="AB12" s="247"/>
      <c r="AC12" s="247"/>
      <c r="AD12" s="247"/>
      <c r="AE12" s="247"/>
      <c r="AF12" s="248"/>
    </row>
    <row r="13" spans="1:32" ht="20.25" customHeight="1">
      <c r="A13" s="277"/>
      <c r="B13" s="278"/>
      <c r="C13" s="279"/>
      <c r="D13" s="279"/>
      <c r="E13" s="279"/>
      <c r="F13" s="279"/>
      <c r="G13" s="279"/>
      <c r="H13" s="279"/>
      <c r="I13" s="279"/>
      <c r="J13" s="279"/>
      <c r="K13" s="279"/>
      <c r="L13" s="279"/>
      <c r="M13" s="279"/>
      <c r="N13" s="279"/>
      <c r="O13" s="279"/>
      <c r="P13" s="280"/>
      <c r="Q13" s="279"/>
      <c r="R13" s="279"/>
      <c r="S13" s="279"/>
      <c r="T13" s="279"/>
      <c r="U13" s="279"/>
      <c r="V13" s="279"/>
      <c r="W13" s="279"/>
      <c r="X13" s="279"/>
      <c r="Y13" s="279"/>
      <c r="Z13" s="279"/>
      <c r="AA13" s="279"/>
      <c r="AB13" s="279"/>
      <c r="AC13" s="279"/>
      <c r="AD13" s="281"/>
      <c r="AE13" s="282"/>
      <c r="AF13" s="248"/>
    </row>
    <row r="14" spans="1:32" ht="20.25" customHeight="1">
      <c r="A14" s="277"/>
      <c r="B14" s="283"/>
      <c r="C14" s="279"/>
      <c r="D14" s="279"/>
      <c r="E14" s="279"/>
      <c r="F14" s="279"/>
      <c r="G14" s="279"/>
      <c r="H14" s="279"/>
      <c r="I14" s="279"/>
      <c r="J14" s="279"/>
      <c r="K14" s="279"/>
      <c r="L14" s="279"/>
      <c r="M14" s="279"/>
      <c r="N14" s="279"/>
      <c r="O14" s="279"/>
      <c r="P14" s="280"/>
      <c r="Q14" s="279"/>
      <c r="R14" s="279"/>
      <c r="S14" s="279"/>
      <c r="T14" s="279"/>
      <c r="U14" s="279"/>
      <c r="V14" s="279"/>
      <c r="W14" s="279"/>
      <c r="X14" s="279"/>
      <c r="Y14" s="279"/>
      <c r="Z14" s="279"/>
      <c r="AA14" s="279"/>
      <c r="AB14" s="279"/>
      <c r="AC14" s="279"/>
      <c r="AD14" s="281"/>
      <c r="AE14" s="282"/>
      <c r="AF14" s="248"/>
    </row>
    <row r="15" spans="1:32" ht="30" customHeight="1">
      <c r="A15" s="284"/>
      <c r="B15" s="285"/>
      <c r="C15" s="286"/>
      <c r="D15" s="285"/>
      <c r="E15" s="286"/>
      <c r="F15" s="286"/>
      <c r="G15" s="286"/>
      <c r="H15" s="285"/>
      <c r="I15" s="285"/>
      <c r="J15" s="285"/>
      <c r="K15" s="286"/>
      <c r="L15" s="286"/>
      <c r="M15" s="286"/>
      <c r="N15" s="286"/>
      <c r="O15" s="282"/>
      <c r="P15" s="287"/>
      <c r="Q15" s="282"/>
      <c r="R15" s="282"/>
      <c r="S15" s="282"/>
      <c r="T15" s="282"/>
      <c r="U15" s="282"/>
      <c r="V15" s="282"/>
      <c r="W15" s="282"/>
      <c r="X15" s="282"/>
      <c r="Y15" s="282"/>
      <c r="Z15" s="282"/>
      <c r="AA15" s="282"/>
      <c r="AB15" s="282"/>
      <c r="AC15" s="282"/>
      <c r="AD15" s="282"/>
      <c r="AE15" s="282"/>
      <c r="AF15" s="248"/>
    </row>
    <row r="16" spans="1:32" ht="30" customHeight="1">
      <c r="A16" s="284"/>
      <c r="B16" s="285"/>
      <c r="C16" s="286"/>
      <c r="D16" s="285"/>
      <c r="E16" s="288"/>
      <c r="F16" s="288"/>
      <c r="G16" s="288"/>
      <c r="H16" s="288"/>
      <c r="I16" s="288"/>
      <c r="J16" s="288"/>
      <c r="K16" s="288"/>
      <c r="L16" s="288"/>
      <c r="M16" s="288"/>
      <c r="N16" s="286"/>
      <c r="O16" s="282"/>
      <c r="P16" s="287"/>
      <c r="Q16" s="282"/>
      <c r="R16" s="282"/>
      <c r="S16" s="282"/>
      <c r="T16" s="282"/>
      <c r="U16" s="282"/>
      <c r="V16" s="282"/>
      <c r="W16" s="282"/>
      <c r="X16" s="282"/>
      <c r="Y16" s="282"/>
      <c r="Z16" s="282"/>
      <c r="AA16" s="282"/>
      <c r="AB16" s="282"/>
      <c r="AC16" s="282"/>
      <c r="AD16" s="282"/>
      <c r="AE16" s="282"/>
      <c r="AF16" s="248"/>
    </row>
    <row r="17" spans="1:32" ht="15" customHeight="1">
      <c r="A17" s="284"/>
      <c r="B17" s="288"/>
      <c r="C17" s="289"/>
      <c r="D17" s="288"/>
      <c r="E17" s="288"/>
      <c r="F17" s="288"/>
      <c r="G17" s="288"/>
      <c r="H17" s="288"/>
      <c r="I17" s="288"/>
      <c r="J17" s="288"/>
      <c r="K17" s="288"/>
      <c r="L17" s="288"/>
      <c r="M17" s="288"/>
      <c r="N17" s="290"/>
      <c r="O17" s="265"/>
      <c r="P17" s="266"/>
      <c r="Q17" s="265"/>
      <c r="R17" s="265"/>
      <c r="S17" s="265"/>
      <c r="T17" s="286"/>
      <c r="U17" s="286"/>
      <c r="V17" s="286"/>
      <c r="W17" s="286"/>
      <c r="X17" s="286"/>
      <c r="Y17" s="286"/>
      <c r="Z17" s="286"/>
      <c r="AA17" s="286"/>
      <c r="AB17" s="286"/>
      <c r="AC17" s="291"/>
      <c r="AD17" s="282"/>
      <c r="AE17" s="282"/>
      <c r="AF17" s="248"/>
    </row>
    <row r="18" spans="1:32" ht="30" customHeight="1">
      <c r="A18" s="284"/>
      <c r="B18" s="292"/>
      <c r="C18" s="293"/>
      <c r="D18" s="294"/>
      <c r="E18" s="156"/>
      <c r="F18" s="156"/>
      <c r="G18" s="156"/>
      <c r="H18" s="156"/>
      <c r="I18" s="156"/>
      <c r="J18" s="156"/>
      <c r="K18" s="156"/>
      <c r="L18" s="156"/>
      <c r="M18" s="156"/>
      <c r="N18" s="295"/>
      <c r="O18" s="291"/>
      <c r="P18" s="296"/>
      <c r="Q18" s="291"/>
      <c r="R18" s="291"/>
      <c r="S18" s="291"/>
      <c r="T18" s="291"/>
      <c r="U18" s="291"/>
      <c r="V18" s="291"/>
      <c r="W18" s="291"/>
      <c r="X18" s="291"/>
      <c r="Y18" s="291"/>
      <c r="Z18" s="291"/>
      <c r="AA18" s="291"/>
      <c r="AB18" s="291"/>
      <c r="AC18" s="291"/>
      <c r="AD18" s="282"/>
      <c r="AE18" s="282"/>
      <c r="AF18" s="248"/>
    </row>
    <row r="19" spans="1:32" ht="30" customHeight="1">
      <c r="A19" s="297"/>
      <c r="B19" s="292"/>
      <c r="C19" s="293"/>
      <c r="D19" s="294"/>
      <c r="E19" s="156"/>
      <c r="F19" s="156"/>
      <c r="G19" s="156"/>
      <c r="H19" s="156"/>
      <c r="I19" s="156"/>
      <c r="J19" s="156"/>
      <c r="K19" s="156"/>
      <c r="L19" s="156"/>
      <c r="M19" s="156"/>
      <c r="N19" s="295"/>
      <c r="O19" s="291"/>
      <c r="P19" s="296"/>
      <c r="Q19" s="291"/>
      <c r="R19" s="291"/>
      <c r="S19" s="291"/>
      <c r="T19" s="298"/>
      <c r="U19" s="298"/>
      <c r="V19" s="298"/>
      <c r="W19" s="299"/>
      <c r="X19" s="299"/>
      <c r="Y19" s="299"/>
      <c r="Z19" s="299"/>
      <c r="AA19" s="298"/>
      <c r="AB19" s="291"/>
      <c r="AC19" s="291"/>
      <c r="AD19" s="300"/>
      <c r="AE19" s="300"/>
      <c r="AF19" s="248"/>
    </row>
    <row r="20" spans="1:32" ht="15" customHeight="1">
      <c r="A20" s="301"/>
      <c r="B20" s="302"/>
      <c r="C20" s="302"/>
      <c r="D20" s="302"/>
      <c r="E20" s="302"/>
      <c r="F20" s="302"/>
      <c r="G20" s="302"/>
      <c r="H20" s="302"/>
      <c r="I20" s="302"/>
      <c r="J20" s="302"/>
      <c r="K20" s="302"/>
      <c r="L20" s="302"/>
      <c r="M20" s="302"/>
      <c r="N20" s="302"/>
      <c r="O20" s="302"/>
      <c r="P20" s="303"/>
      <c r="Q20" s="302"/>
      <c r="R20" s="302"/>
      <c r="S20" s="302"/>
      <c r="T20" s="302"/>
      <c r="U20" s="291"/>
      <c r="V20" s="291"/>
      <c r="W20" s="291"/>
      <c r="X20" s="291"/>
      <c r="Y20" s="291"/>
      <c r="Z20" s="291"/>
      <c r="AA20" s="286"/>
      <c r="AB20" s="304"/>
      <c r="AC20" s="300"/>
      <c r="AD20" s="305"/>
      <c r="AE20" s="305"/>
      <c r="AF20" s="248"/>
    </row>
    <row r="21" spans="1:32" ht="15" customHeight="1">
      <c r="A21" s="301"/>
      <c r="B21" s="302"/>
      <c r="C21" s="302"/>
      <c r="D21" s="302"/>
      <c r="E21" s="302"/>
      <c r="F21" s="302"/>
      <c r="G21" s="302"/>
      <c r="H21" s="302"/>
      <c r="I21" s="302"/>
      <c r="J21" s="302"/>
      <c r="K21" s="302"/>
      <c r="L21" s="302"/>
      <c r="M21" s="302"/>
      <c r="N21" s="302"/>
      <c r="O21" s="302"/>
      <c r="P21" s="303"/>
      <c r="Q21" s="302"/>
      <c r="R21" s="302"/>
      <c r="S21" s="302"/>
      <c r="T21" s="302"/>
      <c r="U21" s="291"/>
      <c r="V21" s="291"/>
      <c r="W21" s="291"/>
      <c r="X21" s="291"/>
      <c r="Y21" s="291"/>
      <c r="Z21" s="291"/>
      <c r="AA21" s="286"/>
      <c r="AB21" s="304"/>
      <c r="AC21" s="300"/>
      <c r="AD21" s="291"/>
      <c r="AE21" s="291"/>
      <c r="AF21" s="248"/>
    </row>
    <row r="22" spans="1:32" ht="15" customHeight="1">
      <c r="A22" s="301"/>
      <c r="B22" s="302"/>
      <c r="C22" s="302"/>
      <c r="D22" s="302"/>
      <c r="E22" s="302"/>
      <c r="F22" s="302"/>
      <c r="G22" s="302"/>
      <c r="H22" s="302"/>
      <c r="I22" s="302"/>
      <c r="J22" s="302"/>
      <c r="K22" s="302"/>
      <c r="L22" s="302"/>
      <c r="M22" s="302"/>
      <c r="N22" s="302"/>
      <c r="O22" s="302"/>
      <c r="P22" s="303"/>
      <c r="Q22" s="302"/>
      <c r="R22" s="302"/>
      <c r="S22" s="302"/>
      <c r="T22" s="302"/>
      <c r="U22" s="291"/>
      <c r="V22" s="291"/>
      <c r="W22" s="291"/>
      <c r="X22" s="291"/>
      <c r="Y22" s="291"/>
      <c r="Z22" s="291"/>
      <c r="AA22" s="286"/>
      <c r="AB22" s="304"/>
      <c r="AC22" s="300"/>
      <c r="AD22" s="305"/>
      <c r="AE22" s="305"/>
      <c r="AF22" s="248"/>
    </row>
    <row r="23" spans="1:32" ht="30" customHeight="1">
      <c r="A23" s="306"/>
      <c r="B23" s="292"/>
      <c r="C23" s="293"/>
      <c r="D23" s="294"/>
      <c r="E23" s="156"/>
      <c r="F23" s="156"/>
      <c r="G23" s="156"/>
      <c r="H23" s="156"/>
      <c r="I23" s="156"/>
      <c r="J23" s="156"/>
      <c r="K23" s="156"/>
      <c r="L23" s="156"/>
      <c r="M23" s="156"/>
      <c r="N23" s="295"/>
      <c r="O23" s="307"/>
      <c r="P23" s="308"/>
      <c r="Q23" s="307"/>
      <c r="R23" s="307"/>
      <c r="S23" s="291"/>
      <c r="T23" s="298"/>
      <c r="U23" s="298"/>
      <c r="V23" s="298"/>
      <c r="W23" s="298"/>
      <c r="X23" s="298"/>
      <c r="Y23" s="298"/>
      <c r="Z23" s="298"/>
      <c r="AA23" s="298"/>
      <c r="AB23" s="291"/>
      <c r="AC23" s="291"/>
      <c r="AD23" s="291"/>
      <c r="AE23" s="291"/>
      <c r="AF23" s="248"/>
    </row>
    <row r="24" spans="1:32" ht="30" customHeight="1">
      <c r="A24" s="301"/>
      <c r="B24" s="292"/>
      <c r="C24" s="293"/>
      <c r="D24" s="294"/>
      <c r="E24" s="156"/>
      <c r="F24" s="156"/>
      <c r="G24" s="156"/>
      <c r="H24" s="156"/>
      <c r="I24" s="156"/>
      <c r="J24" s="156"/>
      <c r="K24" s="156"/>
      <c r="L24" s="156"/>
      <c r="M24" s="156"/>
      <c r="N24" s="295"/>
      <c r="O24" s="291"/>
      <c r="P24" s="296"/>
      <c r="Q24" s="291"/>
      <c r="R24" s="291"/>
      <c r="S24" s="291"/>
      <c r="T24" s="291"/>
      <c r="U24" s="291"/>
      <c r="V24" s="291"/>
      <c r="W24" s="291"/>
      <c r="X24" s="291"/>
      <c r="Y24" s="291"/>
      <c r="Z24" s="291"/>
      <c r="AA24" s="286"/>
      <c r="AB24" s="304"/>
      <c r="AC24" s="300"/>
      <c r="AD24" s="300"/>
      <c r="AE24" s="300"/>
      <c r="AF24" s="248"/>
    </row>
    <row r="25" spans="1:32" ht="30" customHeight="1">
      <c r="A25" s="309"/>
      <c r="B25" s="292"/>
      <c r="C25" s="293"/>
      <c r="D25" s="294"/>
      <c r="E25" s="156"/>
      <c r="F25" s="156"/>
      <c r="G25" s="156"/>
      <c r="H25" s="156"/>
      <c r="I25" s="156"/>
      <c r="J25" s="156"/>
      <c r="K25" s="156"/>
      <c r="L25" s="156"/>
      <c r="M25" s="156"/>
      <c r="N25" s="295"/>
      <c r="O25" s="291"/>
      <c r="P25" s="296"/>
      <c r="Q25" s="291"/>
      <c r="R25" s="291"/>
      <c r="S25" s="291"/>
      <c r="T25" s="291"/>
      <c r="U25" s="291"/>
      <c r="V25" s="291"/>
      <c r="W25" s="291"/>
      <c r="X25" s="291"/>
      <c r="Y25" s="291"/>
      <c r="Z25" s="291"/>
      <c r="AA25" s="286"/>
      <c r="AB25" s="304"/>
      <c r="AC25" s="300"/>
      <c r="AD25" s="291"/>
      <c r="AE25" s="291"/>
      <c r="AF25" s="248"/>
    </row>
    <row r="26" spans="1:32" ht="15" customHeight="1">
      <c r="A26" s="310"/>
      <c r="B26" s="311"/>
      <c r="C26" s="295"/>
      <c r="D26" s="312"/>
      <c r="E26" s="166"/>
      <c r="F26" s="166"/>
      <c r="G26" s="166"/>
      <c r="H26" s="166"/>
      <c r="I26" s="166"/>
      <c r="J26" s="166"/>
      <c r="K26" s="166"/>
      <c r="L26" s="166"/>
      <c r="M26" s="166"/>
      <c r="N26" s="295"/>
      <c r="O26" s="291"/>
      <c r="P26" s="296"/>
      <c r="Q26" s="291"/>
      <c r="R26" s="291"/>
      <c r="S26" s="291"/>
      <c r="T26" s="291"/>
      <c r="U26" s="291"/>
      <c r="V26" s="291"/>
      <c r="W26" s="291"/>
      <c r="X26" s="291"/>
      <c r="Y26" s="291"/>
      <c r="Z26" s="291"/>
      <c r="AA26" s="286"/>
      <c r="AB26" s="304"/>
      <c r="AC26" s="300"/>
      <c r="AD26" s="305"/>
      <c r="AE26" s="305"/>
      <c r="AF26" s="248"/>
    </row>
    <row r="27" spans="1:32" ht="60" customHeight="1">
      <c r="A27" s="1040" t="s">
        <v>92</v>
      </c>
      <c r="B27" s="1041"/>
      <c r="C27" s="1041"/>
      <c r="D27" s="1041"/>
      <c r="E27" s="1041"/>
      <c r="F27" s="1041"/>
      <c r="G27" s="1041"/>
      <c r="H27" s="1041"/>
      <c r="I27" s="1041"/>
      <c r="J27" s="1041"/>
      <c r="K27" s="1041"/>
      <c r="L27" s="1041"/>
      <c r="M27" s="1041"/>
      <c r="N27" s="1041"/>
      <c r="O27" s="1041"/>
      <c r="P27" s="1042"/>
      <c r="Q27" s="291"/>
      <c r="R27" s="291"/>
      <c r="S27" s="291"/>
      <c r="T27" s="291"/>
      <c r="U27" s="291"/>
      <c r="V27" s="291"/>
      <c r="W27" s="291"/>
      <c r="X27" s="291"/>
      <c r="Y27" s="291"/>
      <c r="Z27" s="291"/>
      <c r="AA27" s="286"/>
      <c r="AB27" s="304"/>
      <c r="AC27" s="300"/>
      <c r="AD27" s="300"/>
      <c r="AE27" s="300"/>
      <c r="AF27" s="248"/>
    </row>
    <row r="28" spans="1:32" ht="30" customHeight="1">
      <c r="A28" s="313"/>
      <c r="B28" s="314"/>
      <c r="C28" s="315"/>
      <c r="D28" s="315"/>
      <c r="E28" s="315"/>
      <c r="F28" s="315"/>
      <c r="G28" s="315"/>
      <c r="H28" s="315"/>
      <c r="I28" s="315"/>
      <c r="J28" s="315"/>
      <c r="K28" s="315"/>
      <c r="L28" s="315"/>
      <c r="M28" s="315"/>
      <c r="N28" s="315"/>
      <c r="O28" s="316"/>
      <c r="P28" s="317"/>
      <c r="Q28" s="291"/>
      <c r="R28" s="291"/>
      <c r="S28" s="291"/>
      <c r="T28" s="291"/>
      <c r="U28" s="291"/>
      <c r="V28" s="291"/>
      <c r="W28" s="291"/>
      <c r="X28" s="291"/>
      <c r="Y28" s="291"/>
      <c r="Z28" s="291"/>
      <c r="AA28" s="286"/>
      <c r="AB28" s="304"/>
      <c r="AC28" s="300"/>
      <c r="AD28" s="291"/>
      <c r="AE28" s="291"/>
      <c r="AF28" s="248"/>
    </row>
    <row r="29" spans="1:32" ht="60" customHeight="1">
      <c r="A29" s="1043" t="s">
        <v>292</v>
      </c>
      <c r="B29" s="1044"/>
      <c r="C29" s="1044"/>
      <c r="D29" s="1044"/>
      <c r="E29" s="1044"/>
      <c r="F29" s="1044"/>
      <c r="G29" s="1044"/>
      <c r="H29" s="1044"/>
      <c r="I29" s="1044"/>
      <c r="J29" s="1044"/>
      <c r="K29" s="1044"/>
      <c r="L29" s="1044"/>
      <c r="M29" s="1044"/>
      <c r="N29" s="1044"/>
      <c r="O29" s="1044"/>
      <c r="P29" s="1045"/>
      <c r="Q29" s="291"/>
      <c r="R29" s="291"/>
      <c r="S29" s="291"/>
      <c r="T29" s="291"/>
      <c r="U29" s="291"/>
      <c r="V29" s="291"/>
      <c r="W29" s="291"/>
      <c r="X29" s="291"/>
      <c r="Y29" s="291"/>
      <c r="Z29" s="291"/>
      <c r="AA29" s="286"/>
      <c r="AB29" s="304"/>
      <c r="AC29" s="300"/>
      <c r="AD29" s="305"/>
      <c r="AE29" s="305"/>
      <c r="AF29" s="248"/>
    </row>
    <row r="30" spans="1:32" ht="15" customHeight="1">
      <c r="A30" s="301"/>
      <c r="B30" s="282"/>
      <c r="C30" s="282"/>
      <c r="D30" s="282"/>
      <c r="E30" s="282"/>
      <c r="F30" s="282"/>
      <c r="G30" s="282"/>
      <c r="H30" s="282"/>
      <c r="I30" s="282"/>
      <c r="J30" s="282"/>
      <c r="K30" s="282"/>
      <c r="L30" s="282"/>
      <c r="M30" s="282"/>
      <c r="N30" s="282"/>
      <c r="O30" s="291"/>
      <c r="P30" s="296"/>
      <c r="Q30" s="291"/>
      <c r="R30" s="291"/>
      <c r="S30" s="291"/>
      <c r="T30" s="291"/>
      <c r="U30" s="291"/>
      <c r="V30" s="291"/>
      <c r="W30" s="291"/>
      <c r="X30" s="291"/>
      <c r="Y30" s="291"/>
      <c r="Z30" s="291"/>
      <c r="AA30" s="286"/>
      <c r="AB30" s="304"/>
      <c r="AC30" s="300"/>
      <c r="AD30" s="300"/>
      <c r="AE30" s="300"/>
      <c r="AF30" s="248"/>
    </row>
    <row r="31" spans="1:32" ht="15" customHeight="1">
      <c r="A31" s="309"/>
      <c r="B31" s="318"/>
      <c r="C31" s="282"/>
      <c r="D31" s="282"/>
      <c r="E31" s="282"/>
      <c r="F31" s="282"/>
      <c r="G31" s="282"/>
      <c r="H31" s="282"/>
      <c r="I31" s="282"/>
      <c r="J31" s="282"/>
      <c r="K31" s="282"/>
      <c r="L31" s="282"/>
      <c r="M31" s="282"/>
      <c r="N31" s="282"/>
      <c r="O31" s="291"/>
      <c r="P31" s="296"/>
      <c r="Q31" s="291"/>
      <c r="R31" s="291"/>
      <c r="S31" s="291"/>
      <c r="T31" s="291"/>
      <c r="U31" s="291"/>
      <c r="V31" s="291"/>
      <c r="W31" s="291"/>
      <c r="X31" s="291"/>
      <c r="Y31" s="291"/>
      <c r="Z31" s="291"/>
      <c r="AA31" s="286"/>
      <c r="AB31" s="304"/>
      <c r="AC31" s="300"/>
      <c r="AD31" s="291"/>
      <c r="AE31" s="291"/>
      <c r="AF31" s="248"/>
    </row>
    <row r="32" spans="1:32" ht="15" customHeight="1">
      <c r="A32" s="310"/>
      <c r="B32" s="319"/>
      <c r="C32" s="291"/>
      <c r="D32" s="265"/>
      <c r="E32" s="265"/>
      <c r="F32" s="265"/>
      <c r="G32" s="265"/>
      <c r="H32" s="265"/>
      <c r="I32" s="265"/>
      <c r="J32" s="265"/>
      <c r="K32" s="265"/>
      <c r="L32" s="265"/>
      <c r="M32" s="265"/>
      <c r="N32" s="265"/>
      <c r="O32" s="291"/>
      <c r="P32" s="296"/>
      <c r="Q32" s="291"/>
      <c r="R32" s="291"/>
      <c r="S32" s="291"/>
      <c r="T32" s="291"/>
      <c r="U32" s="291"/>
      <c r="V32" s="291"/>
      <c r="W32" s="291"/>
      <c r="X32" s="291"/>
      <c r="Y32" s="291"/>
      <c r="Z32" s="291"/>
      <c r="AA32" s="286"/>
      <c r="AB32" s="304"/>
      <c r="AC32" s="300"/>
      <c r="AD32" s="305"/>
      <c r="AE32" s="305"/>
      <c r="AF32" s="248"/>
    </row>
    <row r="33" spans="1:32" ht="15" customHeight="1">
      <c r="A33" s="301"/>
      <c r="B33" s="302"/>
      <c r="C33" s="302"/>
      <c r="D33" s="302"/>
      <c r="E33" s="302"/>
      <c r="F33" s="302"/>
      <c r="G33" s="302"/>
      <c r="H33" s="302"/>
      <c r="I33" s="302"/>
      <c r="J33" s="302"/>
      <c r="K33" s="302"/>
      <c r="L33" s="302"/>
      <c r="M33" s="302"/>
      <c r="N33" s="302"/>
      <c r="O33" s="302"/>
      <c r="P33" s="303"/>
      <c r="Q33" s="302"/>
      <c r="R33" s="302"/>
      <c r="S33" s="302"/>
      <c r="T33" s="302"/>
      <c r="U33" s="291"/>
      <c r="V33" s="291"/>
      <c r="W33" s="291"/>
      <c r="X33" s="291"/>
      <c r="Y33" s="291"/>
      <c r="Z33" s="291"/>
      <c r="AA33" s="286"/>
      <c r="AB33" s="304"/>
      <c r="AC33" s="300"/>
      <c r="AD33" s="300"/>
      <c r="AE33" s="300"/>
      <c r="AF33" s="248"/>
    </row>
    <row r="34" spans="1:32" ht="15" customHeight="1">
      <c r="A34" s="310"/>
      <c r="B34" s="319"/>
      <c r="C34" s="291"/>
      <c r="D34" s="265"/>
      <c r="E34" s="265"/>
      <c r="F34" s="265"/>
      <c r="G34" s="265"/>
      <c r="H34" s="265"/>
      <c r="I34" s="265"/>
      <c r="J34" s="265"/>
      <c r="K34" s="265"/>
      <c r="L34" s="265"/>
      <c r="M34" s="265"/>
      <c r="N34" s="265"/>
      <c r="O34" s="291"/>
      <c r="P34" s="296"/>
      <c r="Q34" s="291"/>
      <c r="R34" s="291"/>
      <c r="S34" s="291"/>
      <c r="T34" s="291"/>
      <c r="U34" s="291"/>
      <c r="V34" s="291"/>
      <c r="W34" s="291"/>
      <c r="X34" s="291"/>
      <c r="Y34" s="291"/>
      <c r="Z34" s="291"/>
      <c r="AA34" s="286"/>
      <c r="AB34" s="304"/>
      <c r="AC34" s="300"/>
      <c r="AD34" s="305"/>
      <c r="AE34" s="305"/>
      <c r="AF34" s="248"/>
    </row>
    <row r="35" spans="1:32" ht="15" customHeight="1">
      <c r="A35" s="301"/>
      <c r="B35" s="302"/>
      <c r="C35" s="302"/>
      <c r="D35" s="302"/>
      <c r="E35" s="302"/>
      <c r="F35" s="302"/>
      <c r="G35" s="302"/>
      <c r="H35" s="302"/>
      <c r="I35" s="302"/>
      <c r="J35" s="302"/>
      <c r="K35" s="302"/>
      <c r="L35" s="302"/>
      <c r="M35" s="302"/>
      <c r="N35" s="302"/>
      <c r="O35" s="302"/>
      <c r="P35" s="303"/>
      <c r="Q35" s="302"/>
      <c r="R35" s="302"/>
      <c r="S35" s="302"/>
      <c r="T35" s="302"/>
      <c r="U35" s="291"/>
      <c r="V35" s="291"/>
      <c r="W35" s="291"/>
      <c r="X35" s="291"/>
      <c r="Y35" s="291"/>
      <c r="Z35" s="291"/>
      <c r="AA35" s="286"/>
      <c r="AB35" s="304"/>
      <c r="AC35" s="300"/>
      <c r="AD35" s="305"/>
      <c r="AE35" s="305"/>
      <c r="AF35" s="248"/>
    </row>
    <row r="36" spans="1:32" ht="15" customHeight="1">
      <c r="A36" s="301"/>
      <c r="B36" s="302"/>
      <c r="C36" s="302"/>
      <c r="D36" s="302"/>
      <c r="E36" s="302"/>
      <c r="F36" s="302"/>
      <c r="G36" s="302"/>
      <c r="H36" s="302"/>
      <c r="I36" s="302"/>
      <c r="J36" s="302"/>
      <c r="K36" s="302"/>
      <c r="L36" s="302"/>
      <c r="M36" s="302"/>
      <c r="N36" s="302"/>
      <c r="O36" s="302"/>
      <c r="P36" s="303"/>
      <c r="Q36" s="302"/>
      <c r="R36" s="302"/>
      <c r="S36" s="302"/>
      <c r="T36" s="302"/>
      <c r="U36" s="291"/>
      <c r="V36" s="291"/>
      <c r="W36" s="291"/>
      <c r="X36" s="291"/>
      <c r="Y36" s="291"/>
      <c r="Z36" s="291"/>
      <c r="AA36" s="286"/>
      <c r="AB36" s="304"/>
      <c r="AC36" s="300"/>
      <c r="AD36" s="300"/>
      <c r="AE36" s="300"/>
      <c r="AF36" s="248"/>
    </row>
    <row r="37" spans="1:32" ht="15" customHeight="1">
      <c r="A37" s="301"/>
      <c r="B37" s="302"/>
      <c r="C37" s="302"/>
      <c r="D37" s="302"/>
      <c r="E37" s="302"/>
      <c r="F37" s="302"/>
      <c r="G37" s="302"/>
      <c r="H37" s="302"/>
      <c r="I37" s="302"/>
      <c r="J37" s="302"/>
      <c r="K37" s="302"/>
      <c r="L37" s="302"/>
      <c r="M37" s="302"/>
      <c r="N37" s="302"/>
      <c r="O37" s="302"/>
      <c r="P37" s="303"/>
      <c r="Q37" s="302"/>
      <c r="R37" s="302"/>
      <c r="S37" s="302"/>
      <c r="T37" s="302"/>
      <c r="U37" s="291"/>
      <c r="V37" s="291"/>
      <c r="W37" s="291"/>
      <c r="X37" s="291"/>
      <c r="Y37" s="291"/>
      <c r="Z37" s="291"/>
      <c r="AA37" s="286"/>
      <c r="AB37" s="304"/>
      <c r="AC37" s="300"/>
      <c r="AD37" s="291"/>
      <c r="AE37" s="291"/>
      <c r="AF37" s="248"/>
    </row>
    <row r="38" spans="1:32" ht="15" customHeight="1">
      <c r="A38" s="301"/>
      <c r="B38" s="302"/>
      <c r="C38" s="302"/>
      <c r="D38" s="302"/>
      <c r="E38" s="302"/>
      <c r="F38" s="302"/>
      <c r="G38" s="302"/>
      <c r="H38" s="302"/>
      <c r="I38" s="302"/>
      <c r="J38" s="302"/>
      <c r="K38" s="302"/>
      <c r="L38" s="302"/>
      <c r="M38" s="302"/>
      <c r="N38" s="302"/>
      <c r="O38" s="302"/>
      <c r="P38" s="303"/>
      <c r="Q38" s="302"/>
      <c r="R38" s="302"/>
      <c r="S38" s="302"/>
      <c r="T38" s="302"/>
      <c r="U38" s="291"/>
      <c r="V38" s="291"/>
      <c r="W38" s="291"/>
      <c r="X38" s="291"/>
      <c r="Y38" s="291"/>
      <c r="Z38" s="291"/>
      <c r="AA38" s="286"/>
      <c r="AB38" s="304"/>
      <c r="AC38" s="300"/>
      <c r="AD38" s="305"/>
      <c r="AE38" s="305"/>
      <c r="AF38" s="248"/>
    </row>
    <row r="39" spans="1:32" ht="15" customHeight="1">
      <c r="A39" s="301"/>
      <c r="B39" s="302"/>
      <c r="C39" s="302"/>
      <c r="D39" s="302"/>
      <c r="E39" s="302"/>
      <c r="F39" s="302"/>
      <c r="G39" s="302"/>
      <c r="H39" s="302"/>
      <c r="I39" s="302"/>
      <c r="J39" s="302"/>
      <c r="K39" s="302"/>
      <c r="L39" s="302"/>
      <c r="M39" s="302"/>
      <c r="N39" s="302"/>
      <c r="O39" s="302"/>
      <c r="P39" s="303"/>
      <c r="Q39" s="302"/>
      <c r="R39" s="302"/>
      <c r="S39" s="302"/>
      <c r="T39" s="302"/>
      <c r="U39" s="291"/>
      <c r="V39" s="291"/>
      <c r="W39" s="291"/>
      <c r="X39" s="291"/>
      <c r="Y39" s="291"/>
      <c r="Z39" s="291"/>
      <c r="AA39" s="286"/>
      <c r="AB39" s="304"/>
      <c r="AC39" s="300"/>
      <c r="AD39" s="291"/>
      <c r="AE39" s="291"/>
      <c r="AF39" s="248"/>
    </row>
    <row r="40" spans="1:32" ht="15" customHeight="1">
      <c r="A40" s="301"/>
      <c r="B40" s="302"/>
      <c r="C40" s="302"/>
      <c r="D40" s="302"/>
      <c r="E40" s="302"/>
      <c r="F40" s="302"/>
      <c r="G40" s="302"/>
      <c r="H40" s="302"/>
      <c r="I40" s="302"/>
      <c r="J40" s="302"/>
      <c r="K40" s="302"/>
      <c r="L40" s="302"/>
      <c r="M40" s="302"/>
      <c r="N40" s="302"/>
      <c r="O40" s="302"/>
      <c r="P40" s="303"/>
      <c r="Q40" s="302"/>
      <c r="R40" s="302"/>
      <c r="S40" s="302"/>
      <c r="T40" s="302"/>
      <c r="U40" s="291"/>
      <c r="V40" s="291"/>
      <c r="W40" s="291"/>
      <c r="X40" s="291"/>
      <c r="Y40" s="291"/>
      <c r="Z40" s="291"/>
      <c r="AA40" s="286"/>
      <c r="AB40" s="304"/>
      <c r="AC40" s="300"/>
      <c r="AD40" s="305"/>
      <c r="AE40" s="305"/>
      <c r="AF40" s="248"/>
    </row>
    <row r="41" spans="1:32" ht="15" customHeight="1">
      <c r="A41" s="301"/>
      <c r="B41" s="302"/>
      <c r="C41" s="302"/>
      <c r="D41" s="302"/>
      <c r="E41" s="302"/>
      <c r="F41" s="302"/>
      <c r="G41" s="302"/>
      <c r="H41" s="302"/>
      <c r="I41" s="302"/>
      <c r="J41" s="302"/>
      <c r="K41" s="302"/>
      <c r="L41" s="302"/>
      <c r="M41" s="302"/>
      <c r="N41" s="302"/>
      <c r="O41" s="302"/>
      <c r="P41" s="303"/>
      <c r="Q41" s="302"/>
      <c r="R41" s="302"/>
      <c r="S41" s="302"/>
      <c r="T41" s="302"/>
      <c r="U41" s="291"/>
      <c r="V41" s="291"/>
      <c r="W41" s="291"/>
      <c r="X41" s="291"/>
      <c r="Y41" s="291"/>
      <c r="Z41" s="291"/>
      <c r="AA41" s="286"/>
      <c r="AB41" s="304"/>
      <c r="AC41" s="300"/>
      <c r="AD41" s="305"/>
      <c r="AE41" s="305"/>
      <c r="AF41" s="248"/>
    </row>
    <row r="42" spans="1:32" ht="15" customHeight="1">
      <c r="A42" s="301"/>
      <c r="B42" s="302"/>
      <c r="C42" s="302"/>
      <c r="D42" s="302"/>
      <c r="E42" s="302"/>
      <c r="F42" s="302"/>
      <c r="G42" s="302"/>
      <c r="H42" s="302"/>
      <c r="I42" s="302"/>
      <c r="J42" s="302"/>
      <c r="K42" s="302"/>
      <c r="L42" s="302"/>
      <c r="M42" s="302"/>
      <c r="N42" s="302"/>
      <c r="O42" s="302"/>
      <c r="P42" s="303"/>
      <c r="Q42" s="302"/>
      <c r="R42" s="302"/>
      <c r="S42" s="302"/>
      <c r="T42" s="302"/>
      <c r="U42" s="291"/>
      <c r="V42" s="291"/>
      <c r="W42" s="291"/>
      <c r="X42" s="291"/>
      <c r="Y42" s="291"/>
      <c r="Z42" s="291"/>
      <c r="AA42" s="286"/>
      <c r="AB42" s="304"/>
      <c r="AC42" s="300"/>
      <c r="AD42" s="305"/>
      <c r="AE42" s="305"/>
      <c r="AF42" s="248"/>
    </row>
    <row r="43" spans="1:32" ht="15" customHeight="1">
      <c r="A43" s="301"/>
      <c r="B43" s="302"/>
      <c r="C43" s="302"/>
      <c r="D43" s="302"/>
      <c r="E43" s="302"/>
      <c r="F43" s="302"/>
      <c r="G43" s="302"/>
      <c r="H43" s="302"/>
      <c r="I43" s="302"/>
      <c r="J43" s="302"/>
      <c r="K43" s="302"/>
      <c r="L43" s="302"/>
      <c r="M43" s="302"/>
      <c r="N43" s="302"/>
      <c r="O43" s="302"/>
      <c r="P43" s="303"/>
      <c r="Q43" s="302"/>
      <c r="R43" s="302"/>
      <c r="S43" s="302"/>
      <c r="T43" s="302"/>
      <c r="U43" s="291"/>
      <c r="V43" s="291"/>
      <c r="W43" s="291"/>
      <c r="X43" s="291"/>
      <c r="Y43" s="291"/>
      <c r="Z43" s="291"/>
      <c r="AA43" s="286"/>
      <c r="AB43" s="304"/>
      <c r="AC43" s="300"/>
      <c r="AD43" s="300"/>
      <c r="AE43" s="300"/>
      <c r="AF43" s="248"/>
    </row>
    <row r="44" spans="1:32" ht="15" customHeight="1">
      <c r="A44" s="301"/>
      <c r="B44" s="302"/>
      <c r="C44" s="302"/>
      <c r="D44" s="302"/>
      <c r="E44" s="302"/>
      <c r="F44" s="302"/>
      <c r="G44" s="302"/>
      <c r="H44" s="302"/>
      <c r="I44" s="302"/>
      <c r="J44" s="302"/>
      <c r="K44" s="302"/>
      <c r="L44" s="302"/>
      <c r="M44" s="302"/>
      <c r="N44" s="302"/>
      <c r="O44" s="302"/>
      <c r="P44" s="303"/>
      <c r="Q44" s="302"/>
      <c r="R44" s="302"/>
      <c r="S44" s="302"/>
      <c r="T44" s="302"/>
      <c r="U44" s="291"/>
      <c r="V44" s="291"/>
      <c r="W44" s="291"/>
      <c r="X44" s="291"/>
      <c r="Y44" s="291"/>
      <c r="Z44" s="291"/>
      <c r="AA44" s="286"/>
      <c r="AB44" s="304"/>
      <c r="AC44" s="300"/>
      <c r="AD44" s="291"/>
      <c r="AE44" s="291"/>
      <c r="AF44" s="248"/>
    </row>
    <row r="45" spans="1:32" ht="15" customHeight="1">
      <c r="A45" s="301"/>
      <c r="B45" s="302"/>
      <c r="C45" s="302"/>
      <c r="D45" s="302"/>
      <c r="E45" s="302"/>
      <c r="F45" s="302"/>
      <c r="G45" s="302"/>
      <c r="H45" s="302"/>
      <c r="I45" s="302"/>
      <c r="J45" s="302"/>
      <c r="K45" s="302"/>
      <c r="L45" s="302"/>
      <c r="M45" s="302"/>
      <c r="N45" s="302"/>
      <c r="O45" s="302"/>
      <c r="P45" s="303"/>
      <c r="Q45" s="302"/>
      <c r="R45" s="302"/>
      <c r="S45" s="302"/>
      <c r="T45" s="302"/>
      <c r="U45" s="291"/>
      <c r="V45" s="291"/>
      <c r="W45" s="291"/>
      <c r="X45" s="291"/>
      <c r="Y45" s="291"/>
      <c r="Z45" s="291"/>
      <c r="AA45" s="286"/>
      <c r="AB45" s="304"/>
      <c r="AC45" s="300"/>
      <c r="AD45" s="305"/>
      <c r="AE45" s="305"/>
      <c r="AF45" s="248"/>
    </row>
    <row r="46" spans="1:32" ht="15" customHeight="1">
      <c r="A46" s="301"/>
      <c r="B46" s="302"/>
      <c r="C46" s="302"/>
      <c r="D46" s="302"/>
      <c r="E46" s="302"/>
      <c r="F46" s="302"/>
      <c r="G46" s="302"/>
      <c r="H46" s="302"/>
      <c r="I46" s="302"/>
      <c r="J46" s="302"/>
      <c r="K46" s="302"/>
      <c r="L46" s="302"/>
      <c r="M46" s="302"/>
      <c r="N46" s="302"/>
      <c r="O46" s="302"/>
      <c r="P46" s="303"/>
      <c r="Q46" s="302"/>
      <c r="R46" s="302"/>
      <c r="S46" s="302"/>
      <c r="T46" s="302"/>
      <c r="U46" s="291"/>
      <c r="V46" s="291"/>
      <c r="W46" s="291"/>
      <c r="X46" s="291"/>
      <c r="Y46" s="291"/>
      <c r="Z46" s="291"/>
      <c r="AA46" s="286"/>
      <c r="AB46" s="304"/>
      <c r="AC46" s="300"/>
      <c r="AD46" s="305"/>
      <c r="AE46" s="305"/>
      <c r="AF46" s="248"/>
    </row>
    <row r="47" spans="1:32" ht="15" customHeight="1">
      <c r="A47" s="301"/>
      <c r="B47" s="302"/>
      <c r="C47" s="302"/>
      <c r="D47" s="302"/>
      <c r="E47" s="302"/>
      <c r="F47" s="302"/>
      <c r="G47" s="302"/>
      <c r="H47" s="302"/>
      <c r="I47" s="302"/>
      <c r="J47" s="302"/>
      <c r="K47" s="302"/>
      <c r="L47" s="302"/>
      <c r="M47" s="302"/>
      <c r="N47" s="302"/>
      <c r="O47" s="302"/>
      <c r="P47" s="303"/>
      <c r="Q47" s="302"/>
      <c r="R47" s="302"/>
      <c r="S47" s="302"/>
      <c r="T47" s="302"/>
      <c r="U47" s="291"/>
      <c r="V47" s="291"/>
      <c r="W47" s="291"/>
      <c r="X47" s="291"/>
      <c r="Y47" s="291"/>
      <c r="Z47" s="291"/>
      <c r="AA47" s="286"/>
      <c r="AB47" s="304"/>
      <c r="AC47" s="300"/>
      <c r="AD47" s="300"/>
      <c r="AE47" s="300"/>
      <c r="AF47" s="248"/>
    </row>
    <row r="48" spans="1:32" ht="15" customHeight="1">
      <c r="A48" s="301"/>
      <c r="B48" s="302"/>
      <c r="C48" s="302"/>
      <c r="D48" s="302"/>
      <c r="E48" s="302"/>
      <c r="F48" s="302"/>
      <c r="G48" s="302"/>
      <c r="H48" s="302"/>
      <c r="I48" s="302"/>
      <c r="J48" s="302"/>
      <c r="K48" s="302"/>
      <c r="L48" s="302"/>
      <c r="M48" s="302"/>
      <c r="N48" s="302"/>
      <c r="O48" s="302"/>
      <c r="P48" s="303"/>
      <c r="Q48" s="302"/>
      <c r="R48" s="302"/>
      <c r="S48" s="302"/>
      <c r="T48" s="302"/>
      <c r="U48" s="291"/>
      <c r="V48" s="291"/>
      <c r="W48" s="291"/>
      <c r="X48" s="291"/>
      <c r="Y48" s="291"/>
      <c r="Z48" s="291"/>
      <c r="AA48" s="286"/>
      <c r="AB48" s="304"/>
      <c r="AC48" s="300"/>
      <c r="AD48" s="291"/>
      <c r="AE48" s="291"/>
      <c r="AF48" s="248"/>
    </row>
    <row r="49" spans="1:32" ht="15" customHeight="1">
      <c r="A49" s="301"/>
      <c r="B49" s="302"/>
      <c r="C49" s="302"/>
      <c r="D49" s="302"/>
      <c r="E49" s="302"/>
      <c r="F49" s="302"/>
      <c r="G49" s="302"/>
      <c r="H49" s="302"/>
      <c r="I49" s="302"/>
      <c r="J49" s="302"/>
      <c r="K49" s="302"/>
      <c r="L49" s="302"/>
      <c r="M49" s="302"/>
      <c r="N49" s="302"/>
      <c r="O49" s="302"/>
      <c r="P49" s="303"/>
      <c r="Q49" s="302"/>
      <c r="R49" s="302"/>
      <c r="S49" s="302"/>
      <c r="T49" s="302"/>
      <c r="U49" s="291"/>
      <c r="V49" s="291"/>
      <c r="W49" s="291"/>
      <c r="X49" s="291"/>
      <c r="Y49" s="291"/>
      <c r="Z49" s="291"/>
      <c r="AA49" s="286"/>
      <c r="AB49" s="304"/>
      <c r="AC49" s="300"/>
      <c r="AD49" s="305"/>
      <c r="AE49" s="305"/>
      <c r="AF49" s="248"/>
    </row>
    <row r="50" spans="1:32" ht="15" customHeight="1">
      <c r="A50" s="301"/>
      <c r="B50" s="302"/>
      <c r="C50" s="302"/>
      <c r="D50" s="302"/>
      <c r="E50" s="302"/>
      <c r="F50" s="302"/>
      <c r="G50" s="302"/>
      <c r="H50" s="302"/>
      <c r="I50" s="302"/>
      <c r="J50" s="302"/>
      <c r="K50" s="302"/>
      <c r="L50" s="302"/>
      <c r="M50" s="302"/>
      <c r="N50" s="302"/>
      <c r="O50" s="302"/>
      <c r="P50" s="303"/>
      <c r="Q50" s="302"/>
      <c r="R50" s="302"/>
      <c r="S50" s="302"/>
      <c r="T50" s="302"/>
      <c r="U50" s="291"/>
      <c r="V50" s="291"/>
      <c r="W50" s="291"/>
      <c r="X50" s="291"/>
      <c r="Y50" s="291"/>
      <c r="Z50" s="291"/>
      <c r="AA50" s="286"/>
      <c r="AB50" s="304"/>
      <c r="AC50" s="300"/>
      <c r="AD50" s="300"/>
      <c r="AE50" s="300"/>
      <c r="AF50" s="248"/>
    </row>
    <row r="51" spans="1:32" ht="15" customHeight="1">
      <c r="A51" s="301"/>
      <c r="B51" s="302"/>
      <c r="C51" s="302"/>
      <c r="D51" s="302"/>
      <c r="E51" s="302"/>
      <c r="F51" s="302"/>
      <c r="G51" s="302"/>
      <c r="H51" s="302"/>
      <c r="I51" s="302"/>
      <c r="J51" s="302"/>
      <c r="K51" s="302"/>
      <c r="L51" s="302"/>
      <c r="M51" s="302"/>
      <c r="N51" s="302"/>
      <c r="O51" s="302"/>
      <c r="P51" s="303"/>
      <c r="Q51" s="302"/>
      <c r="R51" s="302"/>
      <c r="S51" s="302"/>
      <c r="T51" s="302"/>
      <c r="U51" s="291"/>
      <c r="V51" s="291"/>
      <c r="W51" s="291"/>
      <c r="X51" s="291"/>
      <c r="Y51" s="291"/>
      <c r="Z51" s="291"/>
      <c r="AA51" s="286"/>
      <c r="AB51" s="304"/>
      <c r="AC51" s="300"/>
      <c r="AD51" s="291"/>
      <c r="AE51" s="291"/>
      <c r="AF51" s="248"/>
    </row>
    <row r="52" spans="1:32" ht="15" customHeight="1">
      <c r="A52" s="301"/>
      <c r="B52" s="302"/>
      <c r="C52" s="302"/>
      <c r="D52" s="302"/>
      <c r="E52" s="302"/>
      <c r="F52" s="302"/>
      <c r="G52" s="302"/>
      <c r="H52" s="302"/>
      <c r="I52" s="302"/>
      <c r="J52" s="302"/>
      <c r="K52" s="302"/>
      <c r="L52" s="302"/>
      <c r="M52" s="302"/>
      <c r="N52" s="302"/>
      <c r="O52" s="302"/>
      <c r="P52" s="303"/>
      <c r="Q52" s="302"/>
      <c r="R52" s="302"/>
      <c r="S52" s="302"/>
      <c r="T52" s="302"/>
      <c r="U52" s="291"/>
      <c r="V52" s="291"/>
      <c r="W52" s="291"/>
      <c r="X52" s="291"/>
      <c r="Y52" s="291"/>
      <c r="Z52" s="291"/>
      <c r="AA52" s="286"/>
      <c r="AB52" s="304"/>
      <c r="AC52" s="300"/>
      <c r="AD52" s="305"/>
      <c r="AE52" s="305"/>
      <c r="AF52" s="248"/>
    </row>
    <row r="53" spans="1:32" ht="15" customHeight="1">
      <c r="A53" s="301"/>
      <c r="B53" s="302"/>
      <c r="C53" s="302"/>
      <c r="D53" s="302"/>
      <c r="E53" s="302"/>
      <c r="F53" s="302"/>
      <c r="G53" s="302"/>
      <c r="H53" s="302"/>
      <c r="I53" s="302"/>
      <c r="J53" s="302"/>
      <c r="K53" s="302"/>
      <c r="L53" s="302"/>
      <c r="M53" s="302"/>
      <c r="N53" s="302"/>
      <c r="O53" s="302"/>
      <c r="P53" s="303"/>
      <c r="Q53" s="302"/>
      <c r="R53" s="302"/>
      <c r="S53" s="302"/>
      <c r="T53" s="302"/>
      <c r="U53" s="291"/>
      <c r="V53" s="291"/>
      <c r="W53" s="291"/>
      <c r="X53" s="291"/>
      <c r="Y53" s="291"/>
      <c r="Z53" s="291"/>
      <c r="AA53" s="286"/>
      <c r="AB53" s="304"/>
      <c r="AC53" s="300"/>
      <c r="AD53" s="305"/>
      <c r="AE53" s="305"/>
      <c r="AF53" s="248"/>
    </row>
    <row r="54" spans="1:32" ht="15" customHeight="1">
      <c r="A54" s="301"/>
      <c r="B54" s="302"/>
      <c r="C54" s="302"/>
      <c r="D54" s="302"/>
      <c r="E54" s="302"/>
      <c r="F54" s="302"/>
      <c r="G54" s="302"/>
      <c r="H54" s="302"/>
      <c r="I54" s="302"/>
      <c r="J54" s="302"/>
      <c r="K54" s="302"/>
      <c r="L54" s="302"/>
      <c r="M54" s="302"/>
      <c r="N54" s="302"/>
      <c r="O54" s="302"/>
      <c r="P54" s="303"/>
      <c r="Q54" s="302"/>
      <c r="R54" s="302"/>
      <c r="S54" s="302"/>
      <c r="T54" s="302"/>
      <c r="U54" s="291"/>
      <c r="V54" s="291"/>
      <c r="W54" s="291"/>
      <c r="X54" s="291"/>
      <c r="Y54" s="291"/>
      <c r="Z54" s="291"/>
      <c r="AA54" s="286"/>
      <c r="AB54" s="304"/>
      <c r="AC54" s="300"/>
      <c r="AD54" s="300"/>
      <c r="AE54" s="300"/>
      <c r="AF54" s="248"/>
    </row>
    <row r="55" spans="1:32" ht="15" customHeight="1">
      <c r="A55" s="301"/>
      <c r="B55" s="302"/>
      <c r="C55" s="302"/>
      <c r="D55" s="302"/>
      <c r="E55" s="302"/>
      <c r="F55" s="302"/>
      <c r="G55" s="302"/>
      <c r="H55" s="302"/>
      <c r="I55" s="302"/>
      <c r="J55" s="302"/>
      <c r="K55" s="302"/>
      <c r="L55" s="302"/>
      <c r="M55" s="302"/>
      <c r="N55" s="302"/>
      <c r="O55" s="302"/>
      <c r="P55" s="303"/>
      <c r="Q55" s="302"/>
      <c r="R55" s="302"/>
      <c r="S55" s="302"/>
      <c r="T55" s="302"/>
      <c r="U55" s="291"/>
      <c r="V55" s="291"/>
      <c r="W55" s="291"/>
      <c r="X55" s="291"/>
      <c r="Y55" s="291"/>
      <c r="Z55" s="291"/>
      <c r="AA55" s="286"/>
      <c r="AB55" s="304"/>
      <c r="AC55" s="300"/>
      <c r="AD55" s="305"/>
      <c r="AE55" s="305"/>
      <c r="AF55" s="248"/>
    </row>
    <row r="56" spans="1:32" ht="15" customHeight="1">
      <c r="A56" s="301"/>
      <c r="B56" s="302"/>
      <c r="C56" s="302"/>
      <c r="D56" s="302"/>
      <c r="E56" s="302"/>
      <c r="F56" s="302"/>
      <c r="G56" s="302"/>
      <c r="H56" s="302"/>
      <c r="I56" s="302"/>
      <c r="J56" s="302"/>
      <c r="K56" s="302"/>
      <c r="L56" s="302"/>
      <c r="M56" s="302"/>
      <c r="N56" s="302"/>
      <c r="O56" s="302"/>
      <c r="P56" s="303"/>
      <c r="Q56" s="302"/>
      <c r="R56" s="302"/>
      <c r="S56" s="302"/>
      <c r="T56" s="302"/>
      <c r="U56" s="291"/>
      <c r="V56" s="291"/>
      <c r="W56" s="291"/>
      <c r="X56" s="291"/>
      <c r="Y56" s="291"/>
      <c r="Z56" s="291"/>
      <c r="AA56" s="286"/>
      <c r="AB56" s="304"/>
      <c r="AC56" s="300"/>
      <c r="AD56" s="300"/>
      <c r="AE56" s="300"/>
      <c r="AF56" s="248"/>
    </row>
    <row r="57" spans="1:32" ht="15" customHeight="1">
      <c r="A57" s="301"/>
      <c r="B57" s="302"/>
      <c r="C57" s="302"/>
      <c r="D57" s="302"/>
      <c r="E57" s="302"/>
      <c r="F57" s="302"/>
      <c r="G57" s="302"/>
      <c r="H57" s="302"/>
      <c r="I57" s="302"/>
      <c r="J57" s="302"/>
      <c r="K57" s="302"/>
      <c r="L57" s="302"/>
      <c r="M57" s="302"/>
      <c r="N57" s="302"/>
      <c r="O57" s="302"/>
      <c r="P57" s="303"/>
      <c r="Q57" s="302"/>
      <c r="R57" s="302"/>
      <c r="S57" s="302"/>
      <c r="T57" s="302"/>
      <c r="U57" s="291"/>
      <c r="V57" s="291"/>
      <c r="W57" s="291"/>
      <c r="X57" s="291"/>
      <c r="Y57" s="291"/>
      <c r="Z57" s="291"/>
      <c r="AA57" s="286"/>
      <c r="AB57" s="304"/>
      <c r="AC57" s="300"/>
      <c r="AD57" s="291"/>
      <c r="AE57" s="291"/>
      <c r="AF57" s="248"/>
    </row>
    <row r="58" spans="1:32" ht="15" customHeight="1">
      <c r="A58" s="301"/>
      <c r="B58" s="302"/>
      <c r="C58" s="302"/>
      <c r="D58" s="302"/>
      <c r="E58" s="302"/>
      <c r="F58" s="302"/>
      <c r="G58" s="302"/>
      <c r="H58" s="302"/>
      <c r="I58" s="302"/>
      <c r="J58" s="302"/>
      <c r="K58" s="302"/>
      <c r="L58" s="302"/>
      <c r="M58" s="302"/>
      <c r="N58" s="302"/>
      <c r="O58" s="302"/>
      <c r="P58" s="303"/>
      <c r="Q58" s="302"/>
      <c r="R58" s="302"/>
      <c r="S58" s="302"/>
      <c r="T58" s="302"/>
      <c r="U58" s="291"/>
      <c r="V58" s="291"/>
      <c r="W58" s="291"/>
      <c r="X58" s="291"/>
      <c r="Y58" s="291"/>
      <c r="Z58" s="291"/>
      <c r="AA58" s="286"/>
      <c r="AB58" s="304"/>
      <c r="AC58" s="300"/>
      <c r="AD58" s="305"/>
      <c r="AE58" s="305"/>
      <c r="AF58" s="248"/>
    </row>
    <row r="59" spans="1:32" ht="15" customHeight="1">
      <c r="A59" s="301"/>
      <c r="B59" s="302"/>
      <c r="C59" s="302"/>
      <c r="D59" s="302"/>
      <c r="E59" s="302"/>
      <c r="F59" s="302"/>
      <c r="G59" s="302"/>
      <c r="H59" s="302"/>
      <c r="I59" s="302"/>
      <c r="J59" s="302"/>
      <c r="K59" s="302"/>
      <c r="L59" s="302"/>
      <c r="M59" s="302"/>
      <c r="N59" s="302"/>
      <c r="O59" s="302"/>
      <c r="P59" s="303"/>
      <c r="Q59" s="302"/>
      <c r="R59" s="302"/>
      <c r="S59" s="302"/>
      <c r="T59" s="302"/>
      <c r="U59" s="291"/>
      <c r="V59" s="291"/>
      <c r="W59" s="291"/>
      <c r="X59" s="291"/>
      <c r="Y59" s="291"/>
      <c r="Z59" s="291"/>
      <c r="AA59" s="286"/>
      <c r="AB59" s="304"/>
      <c r="AC59" s="300"/>
      <c r="AD59" s="305"/>
      <c r="AE59" s="305"/>
      <c r="AF59" s="248"/>
    </row>
    <row r="60" spans="1:32" ht="15" customHeight="1">
      <c r="A60" s="301"/>
      <c r="B60" s="302"/>
      <c r="C60" s="302"/>
      <c r="D60" s="302"/>
      <c r="E60" s="302"/>
      <c r="F60" s="302"/>
      <c r="G60" s="302"/>
      <c r="H60" s="302"/>
      <c r="I60" s="302"/>
      <c r="J60" s="302"/>
      <c r="K60" s="302"/>
      <c r="L60" s="302"/>
      <c r="M60" s="302"/>
      <c r="N60" s="302"/>
      <c r="O60" s="302"/>
      <c r="P60" s="303"/>
      <c r="Q60" s="302"/>
      <c r="R60" s="302"/>
      <c r="S60" s="302"/>
      <c r="T60" s="302"/>
      <c r="U60" s="291"/>
      <c r="V60" s="291"/>
      <c r="W60" s="291"/>
      <c r="X60" s="291"/>
      <c r="Y60" s="291"/>
      <c r="Z60" s="291"/>
      <c r="AA60" s="286"/>
      <c r="AB60" s="304"/>
      <c r="AC60" s="300"/>
      <c r="AD60" s="300"/>
      <c r="AE60" s="300"/>
      <c r="AF60" s="248"/>
    </row>
    <row r="61" spans="1:32" ht="15" customHeight="1">
      <c r="A61" s="301"/>
      <c r="B61" s="302"/>
      <c r="C61" s="302"/>
      <c r="D61" s="302"/>
      <c r="E61" s="302"/>
      <c r="F61" s="302"/>
      <c r="G61" s="302"/>
      <c r="H61" s="302"/>
      <c r="I61" s="302"/>
      <c r="J61" s="302"/>
      <c r="K61" s="302"/>
      <c r="L61" s="302"/>
      <c r="M61" s="302"/>
      <c r="N61" s="302"/>
      <c r="O61" s="302"/>
      <c r="P61" s="303"/>
      <c r="Q61" s="302"/>
      <c r="R61" s="302"/>
      <c r="S61" s="302"/>
      <c r="T61" s="302"/>
      <c r="U61" s="291"/>
      <c r="V61" s="291"/>
      <c r="W61" s="291"/>
      <c r="X61" s="291"/>
      <c r="Y61" s="291"/>
      <c r="Z61" s="291"/>
      <c r="AA61" s="286"/>
      <c r="AB61" s="304"/>
      <c r="AC61" s="300"/>
      <c r="AD61" s="291"/>
      <c r="AE61" s="291"/>
      <c r="AF61" s="248"/>
    </row>
    <row r="62" spans="1:32" ht="15" customHeight="1">
      <c r="A62" s="301"/>
      <c r="B62" s="302"/>
      <c r="C62" s="302"/>
      <c r="D62" s="302"/>
      <c r="E62" s="302"/>
      <c r="F62" s="302"/>
      <c r="G62" s="302"/>
      <c r="H62" s="302"/>
      <c r="I62" s="302"/>
      <c r="J62" s="302"/>
      <c r="K62" s="302"/>
      <c r="L62" s="302"/>
      <c r="M62" s="302"/>
      <c r="N62" s="302"/>
      <c r="O62" s="302"/>
      <c r="P62" s="303"/>
      <c r="Q62" s="302"/>
      <c r="R62" s="302"/>
      <c r="S62" s="302"/>
      <c r="T62" s="302"/>
      <c r="U62" s="291"/>
      <c r="V62" s="291"/>
      <c r="W62" s="291"/>
      <c r="X62" s="291"/>
      <c r="Y62" s="291"/>
      <c r="Z62" s="291"/>
      <c r="AA62" s="286"/>
      <c r="AB62" s="304"/>
      <c r="AC62" s="300"/>
      <c r="AD62" s="305"/>
      <c r="AE62" s="305"/>
      <c r="AF62" s="248"/>
    </row>
    <row r="63" spans="1:32" ht="15" customHeight="1">
      <c r="A63" s="301"/>
      <c r="B63" s="302"/>
      <c r="C63" s="302"/>
      <c r="D63" s="302"/>
      <c r="E63" s="302"/>
      <c r="F63" s="302"/>
      <c r="G63" s="302"/>
      <c r="H63" s="302"/>
      <c r="I63" s="302"/>
      <c r="J63" s="302"/>
      <c r="K63" s="302"/>
      <c r="L63" s="302"/>
      <c r="M63" s="302"/>
      <c r="N63" s="302"/>
      <c r="O63" s="302"/>
      <c r="P63" s="303"/>
      <c r="Q63" s="302"/>
      <c r="R63" s="302"/>
      <c r="S63" s="302"/>
      <c r="T63" s="302"/>
      <c r="U63" s="291"/>
      <c r="V63" s="291"/>
      <c r="W63" s="291"/>
      <c r="X63" s="291"/>
      <c r="Y63" s="291"/>
      <c r="Z63" s="291"/>
      <c r="AA63" s="286"/>
      <c r="AB63" s="304"/>
      <c r="AC63" s="300"/>
      <c r="AD63" s="300"/>
      <c r="AE63" s="300"/>
      <c r="AF63" s="248"/>
    </row>
    <row r="64" spans="1:32" ht="15" customHeight="1">
      <c r="A64" s="301"/>
      <c r="B64" s="302"/>
      <c r="C64" s="302"/>
      <c r="D64" s="302"/>
      <c r="E64" s="302"/>
      <c r="F64" s="302"/>
      <c r="G64" s="302"/>
      <c r="H64" s="302"/>
      <c r="I64" s="302"/>
      <c r="J64" s="302"/>
      <c r="K64" s="302"/>
      <c r="L64" s="302"/>
      <c r="M64" s="302"/>
      <c r="N64" s="302"/>
      <c r="O64" s="302"/>
      <c r="P64" s="303"/>
      <c r="Q64" s="302"/>
      <c r="R64" s="302"/>
      <c r="S64" s="302"/>
      <c r="T64" s="302"/>
      <c r="U64" s="291"/>
      <c r="V64" s="291"/>
      <c r="W64" s="291"/>
      <c r="X64" s="291"/>
      <c r="Y64" s="291"/>
      <c r="Z64" s="291"/>
      <c r="AA64" s="286"/>
      <c r="AB64" s="304"/>
      <c r="AC64" s="300"/>
      <c r="AD64" s="291"/>
      <c r="AE64" s="291"/>
      <c r="AF64" s="248"/>
    </row>
    <row r="65" spans="1:32" ht="15" customHeight="1">
      <c r="A65" s="301"/>
      <c r="B65" s="302"/>
      <c r="C65" s="302"/>
      <c r="D65" s="302"/>
      <c r="E65" s="302"/>
      <c r="F65" s="302"/>
      <c r="G65" s="302"/>
      <c r="H65" s="302"/>
      <c r="I65" s="302"/>
      <c r="J65" s="302"/>
      <c r="K65" s="302"/>
      <c r="L65" s="302"/>
      <c r="M65" s="302"/>
      <c r="N65" s="302"/>
      <c r="O65" s="302"/>
      <c r="P65" s="303"/>
      <c r="Q65" s="302"/>
      <c r="R65" s="302"/>
      <c r="S65" s="302"/>
      <c r="T65" s="302"/>
      <c r="U65" s="291"/>
      <c r="V65" s="291"/>
      <c r="W65" s="291"/>
      <c r="X65" s="291"/>
      <c r="Y65" s="291"/>
      <c r="Z65" s="291"/>
      <c r="AA65" s="286"/>
      <c r="AB65" s="304"/>
      <c r="AC65" s="300"/>
      <c r="AD65" s="305"/>
      <c r="AE65" s="305"/>
      <c r="AF65" s="248"/>
    </row>
    <row r="66" spans="1:32" ht="15" customHeight="1">
      <c r="A66" s="301"/>
      <c r="B66" s="302"/>
      <c r="C66" s="302"/>
      <c r="D66" s="302"/>
      <c r="E66" s="302"/>
      <c r="F66" s="302"/>
      <c r="G66" s="302"/>
      <c r="H66" s="302"/>
      <c r="I66" s="302"/>
      <c r="J66" s="302"/>
      <c r="K66" s="302"/>
      <c r="L66" s="302"/>
      <c r="M66" s="302"/>
      <c r="N66" s="302"/>
      <c r="O66" s="302"/>
      <c r="P66" s="303"/>
      <c r="Q66" s="302"/>
      <c r="R66" s="302"/>
      <c r="S66" s="302"/>
      <c r="T66" s="302"/>
      <c r="U66" s="291"/>
      <c r="V66" s="291"/>
      <c r="W66" s="291"/>
      <c r="X66" s="291"/>
      <c r="Y66" s="291"/>
      <c r="Z66" s="291"/>
      <c r="AA66" s="286"/>
      <c r="AB66" s="304"/>
      <c r="AC66" s="300"/>
      <c r="AD66" s="300"/>
      <c r="AE66" s="300"/>
      <c r="AF66" s="248"/>
    </row>
    <row r="67" spans="1:32" ht="15" customHeight="1">
      <c r="A67" s="320"/>
      <c r="B67" s="321"/>
      <c r="C67" s="321"/>
      <c r="D67" s="321"/>
      <c r="E67" s="321"/>
      <c r="F67" s="321"/>
      <c r="G67" s="321"/>
      <c r="H67" s="321"/>
      <c r="I67" s="321"/>
      <c r="J67" s="321"/>
      <c r="K67" s="321"/>
      <c r="L67" s="321"/>
      <c r="M67" s="321"/>
      <c r="N67" s="321"/>
      <c r="O67" s="321"/>
      <c r="P67" s="322"/>
      <c r="Q67" s="302"/>
      <c r="R67" s="302"/>
      <c r="S67" s="302"/>
      <c r="T67" s="302"/>
      <c r="U67" s="291"/>
      <c r="V67" s="291"/>
      <c r="W67" s="291"/>
      <c r="X67" s="291"/>
      <c r="Y67" s="291"/>
      <c r="Z67" s="291"/>
      <c r="AA67" s="286"/>
      <c r="AB67" s="304"/>
      <c r="AC67" s="300"/>
      <c r="AD67" s="305"/>
      <c r="AE67" s="305"/>
      <c r="AF67" s="248"/>
    </row>
    <row r="68" spans="1:32" ht="15" customHeight="1">
      <c r="A68" s="323"/>
      <c r="B68" s="324"/>
      <c r="C68" s="324"/>
      <c r="D68" s="324"/>
      <c r="E68" s="324"/>
      <c r="F68" s="324"/>
      <c r="G68" s="324"/>
      <c r="H68" s="324"/>
      <c r="I68" s="324"/>
      <c r="J68" s="324"/>
      <c r="K68" s="324"/>
      <c r="L68" s="324"/>
      <c r="M68" s="324"/>
      <c r="N68" s="324"/>
      <c r="O68" s="325"/>
      <c r="P68" s="325"/>
      <c r="Q68" s="291"/>
      <c r="R68" s="291"/>
      <c r="S68" s="291"/>
      <c r="T68" s="291"/>
      <c r="U68" s="291"/>
      <c r="V68" s="291"/>
      <c r="W68" s="291"/>
      <c r="X68" s="291"/>
      <c r="Y68" s="291"/>
      <c r="Z68" s="291"/>
      <c r="AA68" s="286"/>
      <c r="AB68" s="304"/>
      <c r="AC68" s="300"/>
      <c r="AD68" s="300"/>
      <c r="AE68" s="300"/>
      <c r="AF68" s="248"/>
    </row>
    <row r="69" spans="1:32" ht="15" customHeight="1">
      <c r="A69" s="291"/>
      <c r="B69" s="318"/>
      <c r="C69" s="282"/>
      <c r="D69" s="282"/>
      <c r="E69" s="282"/>
      <c r="F69" s="282"/>
      <c r="G69" s="282"/>
      <c r="H69" s="282"/>
      <c r="I69" s="282"/>
      <c r="J69" s="282"/>
      <c r="K69" s="282"/>
      <c r="L69" s="282"/>
      <c r="M69" s="282"/>
      <c r="N69" s="282"/>
      <c r="O69" s="291"/>
      <c r="P69" s="291"/>
      <c r="Q69" s="291"/>
      <c r="R69" s="291"/>
      <c r="S69" s="291"/>
      <c r="T69" s="291"/>
      <c r="U69" s="291"/>
      <c r="V69" s="291"/>
      <c r="W69" s="291"/>
      <c r="X69" s="291"/>
      <c r="Y69" s="291"/>
      <c r="Z69" s="291"/>
      <c r="AA69" s="286"/>
      <c r="AB69" s="304"/>
      <c r="AC69" s="300"/>
      <c r="AD69" s="291"/>
      <c r="AE69" s="291"/>
      <c r="AF69" s="248"/>
    </row>
    <row r="70" spans="1:32" ht="15" customHeight="1">
      <c r="A70" s="305"/>
      <c r="B70" s="319"/>
      <c r="C70" s="291"/>
      <c r="D70" s="265"/>
      <c r="E70" s="265"/>
      <c r="F70" s="265"/>
      <c r="G70" s="265"/>
      <c r="H70" s="265"/>
      <c r="I70" s="265"/>
      <c r="J70" s="265"/>
      <c r="K70" s="265"/>
      <c r="L70" s="265"/>
      <c r="M70" s="265"/>
      <c r="N70" s="265"/>
      <c r="O70" s="291"/>
      <c r="P70" s="291"/>
      <c r="Q70" s="291"/>
      <c r="R70" s="291"/>
      <c r="S70" s="291"/>
      <c r="T70" s="291"/>
      <c r="U70" s="291"/>
      <c r="V70" s="291"/>
      <c r="W70" s="291"/>
      <c r="X70" s="291"/>
      <c r="Y70" s="291"/>
      <c r="Z70" s="291"/>
      <c r="AA70" s="286"/>
      <c r="AB70" s="304"/>
      <c r="AC70" s="300"/>
      <c r="AD70" s="305"/>
      <c r="AE70" s="305"/>
      <c r="AF70" s="248"/>
    </row>
    <row r="71" spans="1:32" ht="15" customHeight="1">
      <c r="A71" s="302"/>
      <c r="B71" s="282"/>
      <c r="C71" s="282"/>
      <c r="D71" s="282"/>
      <c r="E71" s="282"/>
      <c r="F71" s="282"/>
      <c r="G71" s="282"/>
      <c r="H71" s="282"/>
      <c r="I71" s="282"/>
      <c r="J71" s="282"/>
      <c r="K71" s="282"/>
      <c r="L71" s="282"/>
      <c r="M71" s="282"/>
      <c r="N71" s="282"/>
      <c r="O71" s="291"/>
      <c r="P71" s="291"/>
      <c r="Q71" s="291"/>
      <c r="R71" s="291"/>
      <c r="S71" s="291"/>
      <c r="T71" s="291"/>
      <c r="U71" s="291"/>
      <c r="V71" s="291"/>
      <c r="W71" s="291"/>
      <c r="X71" s="291"/>
      <c r="Y71" s="291"/>
      <c r="Z71" s="291"/>
      <c r="AA71" s="286"/>
      <c r="AB71" s="304"/>
      <c r="AC71" s="300"/>
      <c r="AD71" s="300"/>
      <c r="AE71" s="300"/>
      <c r="AF71" s="248"/>
    </row>
    <row r="72" spans="1:32" ht="15" customHeight="1">
      <c r="A72" s="291"/>
      <c r="B72" s="318"/>
      <c r="C72" s="282"/>
      <c r="D72" s="282"/>
      <c r="E72" s="282"/>
      <c r="F72" s="282"/>
      <c r="G72" s="282"/>
      <c r="H72" s="282"/>
      <c r="I72" s="282"/>
      <c r="J72" s="282"/>
      <c r="K72" s="282"/>
      <c r="L72" s="282"/>
      <c r="M72" s="282"/>
      <c r="N72" s="282"/>
      <c r="O72" s="291"/>
      <c r="P72" s="291"/>
      <c r="Q72" s="291"/>
      <c r="R72" s="291"/>
      <c r="S72" s="291"/>
      <c r="T72" s="291"/>
      <c r="U72" s="291"/>
      <c r="V72" s="291"/>
      <c r="W72" s="291"/>
      <c r="X72" s="291"/>
      <c r="Y72" s="291"/>
      <c r="Z72" s="291"/>
      <c r="AA72" s="286"/>
      <c r="AB72" s="304"/>
      <c r="AC72" s="300"/>
      <c r="AD72" s="291"/>
      <c r="AE72" s="291"/>
      <c r="AF72" s="248"/>
    </row>
    <row r="73" spans="1:32" ht="15" customHeight="1">
      <c r="A73" s="305"/>
      <c r="B73" s="319"/>
      <c r="C73" s="291"/>
      <c r="D73" s="265"/>
      <c r="E73" s="265"/>
      <c r="F73" s="265"/>
      <c r="G73" s="265"/>
      <c r="H73" s="265"/>
      <c r="I73" s="265"/>
      <c r="J73" s="265"/>
      <c r="K73" s="265"/>
      <c r="L73" s="265"/>
      <c r="M73" s="265"/>
      <c r="N73" s="265"/>
      <c r="O73" s="291"/>
      <c r="P73" s="291"/>
      <c r="Q73" s="291"/>
      <c r="R73" s="291"/>
      <c r="S73" s="291"/>
      <c r="T73" s="291"/>
      <c r="U73" s="291"/>
      <c r="V73" s="291"/>
      <c r="W73" s="291"/>
      <c r="X73" s="291"/>
      <c r="Y73" s="291"/>
      <c r="Z73" s="291"/>
      <c r="AA73" s="286"/>
      <c r="AB73" s="304"/>
      <c r="AC73" s="300"/>
      <c r="AD73" s="305"/>
      <c r="AE73" s="305"/>
      <c r="AF73" s="248"/>
    </row>
    <row r="74" spans="1:32" ht="15" customHeight="1">
      <c r="A74" s="302"/>
      <c r="B74" s="282"/>
      <c r="C74" s="282"/>
      <c r="D74" s="282"/>
      <c r="E74" s="282"/>
      <c r="F74" s="282"/>
      <c r="G74" s="282"/>
      <c r="H74" s="282"/>
      <c r="I74" s="282"/>
      <c r="J74" s="282"/>
      <c r="K74" s="282"/>
      <c r="L74" s="282"/>
      <c r="M74" s="282"/>
      <c r="N74" s="282"/>
      <c r="O74" s="291"/>
      <c r="P74" s="291"/>
      <c r="Q74" s="291"/>
      <c r="R74" s="291"/>
      <c r="S74" s="291"/>
      <c r="T74" s="291"/>
      <c r="U74" s="291"/>
      <c r="V74" s="291"/>
      <c r="W74" s="291"/>
      <c r="X74" s="291"/>
      <c r="Y74" s="291"/>
      <c r="Z74" s="291"/>
      <c r="AA74" s="286"/>
      <c r="AB74" s="304"/>
      <c r="AC74" s="300"/>
      <c r="AD74" s="300"/>
      <c r="AE74" s="300"/>
      <c r="AF74" s="248"/>
    </row>
    <row r="75" spans="1:32" ht="15" customHeight="1">
      <c r="A75" s="291"/>
      <c r="B75" s="318"/>
      <c r="C75" s="282"/>
      <c r="D75" s="282"/>
      <c r="E75" s="282"/>
      <c r="F75" s="282"/>
      <c r="G75" s="282"/>
      <c r="H75" s="282"/>
      <c r="I75" s="282"/>
      <c r="J75" s="282"/>
      <c r="K75" s="282"/>
      <c r="L75" s="282"/>
      <c r="M75" s="282"/>
      <c r="N75" s="282"/>
      <c r="O75" s="291"/>
      <c r="P75" s="291"/>
      <c r="Q75" s="291"/>
      <c r="R75" s="291"/>
      <c r="S75" s="291"/>
      <c r="T75" s="291"/>
      <c r="U75" s="291"/>
      <c r="V75" s="291"/>
      <c r="W75" s="291"/>
      <c r="X75" s="291"/>
      <c r="Y75" s="291"/>
      <c r="Z75" s="291"/>
      <c r="AA75" s="286"/>
      <c r="AB75" s="304"/>
      <c r="AC75" s="300"/>
      <c r="AD75" s="291"/>
      <c r="AE75" s="291"/>
      <c r="AF75" s="248"/>
    </row>
    <row r="76" spans="1:32" ht="15" customHeight="1">
      <c r="A76" s="305"/>
      <c r="B76" s="319"/>
      <c r="C76" s="291"/>
      <c r="D76" s="265"/>
      <c r="E76" s="265"/>
      <c r="F76" s="265"/>
      <c r="G76" s="265"/>
      <c r="H76" s="265"/>
      <c r="I76" s="265"/>
      <c r="J76" s="265"/>
      <c r="K76" s="265"/>
      <c r="L76" s="265"/>
      <c r="M76" s="265"/>
      <c r="N76" s="265"/>
      <c r="O76" s="291"/>
      <c r="P76" s="291"/>
      <c r="Q76" s="291"/>
      <c r="R76" s="291"/>
      <c r="S76" s="291"/>
      <c r="T76" s="291"/>
      <c r="U76" s="291"/>
      <c r="V76" s="291"/>
      <c r="W76" s="291"/>
      <c r="X76" s="291"/>
      <c r="Y76" s="291"/>
      <c r="Z76" s="291"/>
      <c r="AA76" s="286"/>
      <c r="AB76" s="304"/>
      <c r="AC76" s="300"/>
      <c r="AD76" s="305"/>
      <c r="AE76" s="305"/>
      <c r="AF76" s="248"/>
    </row>
    <row r="77" spans="1:32" ht="15" customHeight="1">
      <c r="A77" s="302"/>
      <c r="B77" s="282"/>
      <c r="C77" s="282"/>
      <c r="D77" s="282"/>
      <c r="E77" s="282"/>
      <c r="F77" s="282"/>
      <c r="G77" s="282"/>
      <c r="H77" s="282"/>
      <c r="I77" s="282"/>
      <c r="J77" s="282"/>
      <c r="K77" s="282"/>
      <c r="L77" s="282"/>
      <c r="M77" s="282"/>
      <c r="N77" s="282"/>
      <c r="O77" s="291"/>
      <c r="P77" s="291"/>
      <c r="Q77" s="291"/>
      <c r="R77" s="291"/>
      <c r="S77" s="291"/>
      <c r="T77" s="291"/>
      <c r="U77" s="291"/>
      <c r="V77" s="291"/>
      <c r="W77" s="291"/>
      <c r="X77" s="291"/>
      <c r="Y77" s="291"/>
      <c r="Z77" s="291"/>
      <c r="AA77" s="286"/>
      <c r="AB77" s="304"/>
      <c r="AC77" s="300"/>
      <c r="AD77" s="300"/>
      <c r="AE77" s="300"/>
      <c r="AF77" s="248"/>
    </row>
    <row r="78" spans="1:32" ht="15" customHeight="1">
      <c r="A78" s="291"/>
      <c r="B78" s="318"/>
      <c r="C78" s="282"/>
      <c r="D78" s="282"/>
      <c r="E78" s="282"/>
      <c r="F78" s="282"/>
      <c r="G78" s="282"/>
      <c r="H78" s="282"/>
      <c r="I78" s="282"/>
      <c r="J78" s="282"/>
      <c r="K78" s="282"/>
      <c r="L78" s="282"/>
      <c r="M78" s="282"/>
      <c r="N78" s="282"/>
      <c r="O78" s="291"/>
      <c r="P78" s="291"/>
      <c r="Q78" s="291"/>
      <c r="R78" s="291"/>
      <c r="S78" s="291"/>
      <c r="T78" s="291"/>
      <c r="U78" s="291"/>
      <c r="V78" s="291"/>
      <c r="W78" s="291"/>
      <c r="X78" s="291"/>
      <c r="Y78" s="291"/>
      <c r="Z78" s="291"/>
      <c r="AA78" s="286"/>
      <c r="AB78" s="304"/>
      <c r="AC78" s="300"/>
      <c r="AD78" s="291"/>
      <c r="AE78" s="291"/>
      <c r="AF78" s="248"/>
    </row>
    <row r="79" spans="1:32" ht="15" customHeight="1">
      <c r="A79" s="305"/>
      <c r="B79" s="319"/>
      <c r="C79" s="291"/>
      <c r="D79" s="265"/>
      <c r="E79" s="265"/>
      <c r="F79" s="265"/>
      <c r="G79" s="265"/>
      <c r="H79" s="265"/>
      <c r="I79" s="265"/>
      <c r="J79" s="265"/>
      <c r="K79" s="265"/>
      <c r="L79" s="265"/>
      <c r="M79" s="265"/>
      <c r="N79" s="265"/>
      <c r="O79" s="291"/>
      <c r="P79" s="291"/>
      <c r="Q79" s="291"/>
      <c r="R79" s="291"/>
      <c r="S79" s="291"/>
      <c r="T79" s="291"/>
      <c r="U79" s="291"/>
      <c r="V79" s="291"/>
      <c r="W79" s="291"/>
      <c r="X79" s="291"/>
      <c r="Y79" s="291"/>
      <c r="Z79" s="291"/>
      <c r="AA79" s="286"/>
      <c r="AB79" s="304"/>
      <c r="AC79" s="300"/>
      <c r="AD79" s="305"/>
      <c r="AE79" s="305"/>
      <c r="AF79" s="248"/>
    </row>
    <row r="80" spans="1:32" ht="20.25" customHeight="1">
      <c r="A80" s="326"/>
      <c r="B80" s="291"/>
      <c r="C80" s="291"/>
      <c r="D80" s="291"/>
      <c r="E80" s="291"/>
      <c r="F80" s="291"/>
      <c r="G80" s="291"/>
      <c r="H80" s="291"/>
      <c r="I80" s="291"/>
      <c r="J80" s="291"/>
      <c r="K80" s="291"/>
      <c r="L80" s="291"/>
      <c r="M80" s="291"/>
      <c r="N80" s="291"/>
      <c r="O80" s="327"/>
      <c r="P80" s="327"/>
      <c r="Q80" s="327"/>
      <c r="R80" s="327"/>
      <c r="S80" s="327"/>
      <c r="T80" s="291"/>
      <c r="U80" s="291"/>
      <c r="V80" s="291"/>
      <c r="W80" s="291"/>
      <c r="X80" s="291"/>
      <c r="Y80" s="291"/>
      <c r="Z80" s="291"/>
      <c r="AA80" s="286"/>
      <c r="AB80" s="286"/>
      <c r="AC80" s="326"/>
      <c r="AD80" s="326"/>
      <c r="AE80" s="326"/>
      <c r="AF80" s="248"/>
    </row>
    <row r="81" spans="1:32" ht="20.25" customHeight="1">
      <c r="A81" s="291"/>
      <c r="B81" s="291"/>
      <c r="C81" s="291"/>
      <c r="D81" s="291"/>
      <c r="E81" s="291"/>
      <c r="F81" s="291"/>
      <c r="G81" s="291"/>
      <c r="H81" s="291"/>
      <c r="I81" s="291"/>
      <c r="J81" s="291"/>
      <c r="K81" s="291"/>
      <c r="L81" s="291"/>
      <c r="M81" s="291"/>
      <c r="N81" s="291"/>
      <c r="O81" s="327"/>
      <c r="P81" s="327"/>
      <c r="Q81" s="327"/>
      <c r="R81" s="327"/>
      <c r="S81" s="327"/>
      <c r="T81" s="291"/>
      <c r="U81" s="291"/>
      <c r="V81" s="291"/>
      <c r="W81" s="291"/>
      <c r="X81" s="291"/>
      <c r="Y81" s="291"/>
      <c r="Z81" s="291"/>
      <c r="AA81" s="286"/>
      <c r="AB81" s="286"/>
      <c r="AC81" s="291"/>
      <c r="AD81" s="291"/>
      <c r="AE81" s="291"/>
      <c r="AF81" s="248"/>
    </row>
    <row r="82" spans="1:32" ht="20.25" customHeight="1">
      <c r="A82" s="291"/>
      <c r="B82" s="291"/>
      <c r="C82" s="291"/>
      <c r="D82" s="307"/>
      <c r="E82" s="307"/>
      <c r="F82" s="307"/>
      <c r="G82" s="307"/>
      <c r="H82" s="307"/>
      <c r="I82" s="307"/>
      <c r="J82" s="307"/>
      <c r="K82" s="304"/>
      <c r="L82" s="307"/>
      <c r="M82" s="307"/>
      <c r="N82" s="307"/>
      <c r="O82" s="327"/>
      <c r="P82" s="327"/>
      <c r="Q82" s="327"/>
      <c r="R82" s="327"/>
      <c r="S82" s="327"/>
      <c r="T82" s="291"/>
      <c r="U82" s="291"/>
      <c r="V82" s="291"/>
      <c r="W82" s="291"/>
      <c r="X82" s="291"/>
      <c r="Y82" s="291"/>
      <c r="Z82" s="291"/>
      <c r="AA82" s="286"/>
      <c r="AB82" s="286"/>
      <c r="AC82" s="291"/>
      <c r="AD82" s="291"/>
      <c r="AE82" s="291"/>
      <c r="AF82" s="248"/>
    </row>
    <row r="83" spans="1:32" ht="20.25" customHeight="1">
      <c r="A83" s="282"/>
      <c r="B83" s="291"/>
      <c r="C83" s="291"/>
      <c r="D83" s="307"/>
      <c r="E83" s="307"/>
      <c r="F83" s="307"/>
      <c r="G83" s="307"/>
      <c r="H83" s="307"/>
      <c r="I83" s="307"/>
      <c r="J83" s="307"/>
      <c r="K83" s="304"/>
      <c r="L83" s="307"/>
      <c r="M83" s="307"/>
      <c r="N83" s="307"/>
      <c r="O83" s="282"/>
      <c r="P83" s="282"/>
      <c r="Q83" s="282"/>
      <c r="R83" s="282"/>
      <c r="S83" s="282"/>
      <c r="T83" s="282"/>
      <c r="U83" s="282"/>
      <c r="V83" s="282"/>
      <c r="W83" s="282"/>
      <c r="X83" s="282"/>
      <c r="Y83" s="282"/>
      <c r="Z83" s="282"/>
      <c r="AA83" s="282"/>
      <c r="AB83" s="282"/>
      <c r="AC83" s="282"/>
      <c r="AD83" s="282"/>
      <c r="AE83" s="282"/>
      <c r="AF83" s="248"/>
    </row>
    <row r="84" spans="1:32" ht="20.25" customHeight="1">
      <c r="A84" s="282"/>
      <c r="B84" s="291"/>
      <c r="C84" s="328"/>
      <c r="D84" s="307"/>
      <c r="E84" s="307"/>
      <c r="F84" s="307"/>
      <c r="G84" s="307"/>
      <c r="H84" s="307"/>
      <c r="I84" s="307"/>
      <c r="J84" s="307"/>
      <c r="K84" s="304"/>
      <c r="L84" s="307"/>
      <c r="M84" s="307"/>
      <c r="N84" s="307"/>
      <c r="O84" s="282"/>
      <c r="P84" s="282"/>
      <c r="Q84" s="282"/>
      <c r="R84" s="282"/>
      <c r="S84" s="282"/>
      <c r="T84" s="282"/>
      <c r="U84" s="282"/>
      <c r="V84" s="282"/>
      <c r="W84" s="282"/>
      <c r="X84" s="282"/>
      <c r="Y84" s="282"/>
      <c r="Z84" s="282"/>
      <c r="AA84" s="282"/>
      <c r="AB84" s="282"/>
      <c r="AC84" s="282"/>
      <c r="AD84" s="282"/>
      <c r="AE84" s="282"/>
      <c r="AF84" s="248"/>
    </row>
    <row r="85" spans="1:32" ht="20.25" customHeight="1">
      <c r="A85" s="282"/>
      <c r="B85" s="329"/>
      <c r="C85" s="329"/>
      <c r="D85" s="291"/>
      <c r="E85" s="291"/>
      <c r="F85" s="291"/>
      <c r="G85" s="291"/>
      <c r="H85" s="291"/>
      <c r="I85" s="291"/>
      <c r="J85" s="291"/>
      <c r="K85" s="291"/>
      <c r="L85" s="291"/>
      <c r="M85" s="291"/>
      <c r="N85" s="291"/>
      <c r="O85" s="282"/>
      <c r="P85" s="282"/>
      <c r="Q85" s="282"/>
      <c r="R85" s="282"/>
      <c r="S85" s="282"/>
      <c r="T85" s="282"/>
      <c r="U85" s="282"/>
      <c r="V85" s="282"/>
      <c r="W85" s="282"/>
      <c r="X85" s="282"/>
      <c r="Y85" s="282"/>
      <c r="Z85" s="282"/>
      <c r="AA85" s="282"/>
      <c r="AB85" s="282"/>
      <c r="AC85" s="282"/>
      <c r="AD85" s="282"/>
      <c r="AE85" s="282"/>
      <c r="AF85" s="248"/>
    </row>
    <row r="86" spans="1:32" ht="25" customHeight="1">
      <c r="A86" s="300"/>
      <c r="B86" s="329"/>
      <c r="C86" s="329"/>
      <c r="D86" s="291"/>
      <c r="E86" s="291"/>
      <c r="F86" s="291"/>
      <c r="G86" s="291"/>
      <c r="H86" s="291"/>
      <c r="I86" s="291"/>
      <c r="J86" s="291"/>
      <c r="K86" s="291"/>
      <c r="L86" s="291"/>
      <c r="M86" s="291"/>
      <c r="N86" s="291"/>
      <c r="O86" s="300"/>
      <c r="P86" s="300"/>
      <c r="Q86" s="300"/>
      <c r="R86" s="300"/>
      <c r="S86" s="300"/>
      <c r="T86" s="300"/>
      <c r="U86" s="300"/>
      <c r="V86" s="300"/>
      <c r="W86" s="300"/>
      <c r="X86" s="300"/>
      <c r="Y86" s="300"/>
      <c r="Z86" s="300"/>
      <c r="AA86" s="300"/>
      <c r="AB86" s="300"/>
      <c r="AC86" s="300"/>
      <c r="AD86" s="300"/>
      <c r="AE86" s="300"/>
      <c r="AF86" s="248"/>
    </row>
    <row r="87" spans="1:32" ht="20.25" customHeight="1">
      <c r="A87" s="282"/>
      <c r="B87" s="329"/>
      <c r="C87" s="329"/>
      <c r="D87" s="291"/>
      <c r="E87" s="291"/>
      <c r="F87" s="291"/>
      <c r="G87" s="291"/>
      <c r="H87" s="291"/>
      <c r="I87" s="291"/>
      <c r="J87" s="291"/>
      <c r="K87" s="291"/>
      <c r="L87" s="291"/>
      <c r="M87" s="291"/>
      <c r="N87" s="291"/>
      <c r="O87" s="282"/>
      <c r="P87" s="282"/>
      <c r="Q87" s="282"/>
      <c r="R87" s="282"/>
      <c r="S87" s="282"/>
      <c r="T87" s="282"/>
      <c r="U87" s="282"/>
      <c r="V87" s="282"/>
      <c r="W87" s="282"/>
      <c r="X87" s="282"/>
      <c r="Y87" s="282"/>
      <c r="Z87" s="282"/>
      <c r="AA87" s="282"/>
      <c r="AB87" s="282"/>
      <c r="AC87" s="282"/>
      <c r="AD87" s="282"/>
      <c r="AE87" s="282"/>
      <c r="AF87" s="248"/>
    </row>
    <row r="88" spans="1:32" ht="25" customHeight="1">
      <c r="A88" s="300"/>
      <c r="B88" s="329"/>
      <c r="C88" s="329"/>
      <c r="D88" s="291"/>
      <c r="E88" s="291"/>
      <c r="F88" s="291"/>
      <c r="G88" s="291"/>
      <c r="H88" s="291"/>
      <c r="I88" s="291"/>
      <c r="J88" s="291"/>
      <c r="K88" s="291"/>
      <c r="L88" s="291"/>
      <c r="M88" s="291"/>
      <c r="N88" s="291"/>
      <c r="O88" s="300"/>
      <c r="P88" s="300"/>
      <c r="Q88" s="300"/>
      <c r="R88" s="300"/>
      <c r="S88" s="300"/>
      <c r="T88" s="300"/>
      <c r="U88" s="300"/>
      <c r="V88" s="300"/>
      <c r="W88" s="300"/>
      <c r="X88" s="300"/>
      <c r="Y88" s="300"/>
      <c r="Z88" s="300"/>
      <c r="AA88" s="300"/>
      <c r="AB88" s="300"/>
      <c r="AC88" s="300"/>
      <c r="AD88" s="300"/>
      <c r="AE88" s="300"/>
      <c r="AF88" s="248"/>
    </row>
    <row r="89" spans="1:32" ht="25" customHeight="1">
      <c r="A89" s="300"/>
      <c r="B89" s="327"/>
      <c r="C89" s="327"/>
      <c r="D89" s="327"/>
      <c r="E89" s="327"/>
      <c r="F89" s="327"/>
      <c r="G89" s="327"/>
      <c r="H89" s="327"/>
      <c r="I89" s="327"/>
      <c r="J89" s="327"/>
      <c r="K89" s="327"/>
      <c r="L89" s="327"/>
      <c r="M89" s="327"/>
      <c r="N89" s="327"/>
      <c r="O89" s="300"/>
      <c r="P89" s="300"/>
      <c r="Q89" s="300"/>
      <c r="R89" s="300"/>
      <c r="S89" s="300"/>
      <c r="T89" s="300"/>
      <c r="U89" s="300"/>
      <c r="V89" s="300"/>
      <c r="W89" s="300"/>
      <c r="X89" s="300"/>
      <c r="Y89" s="300"/>
      <c r="Z89" s="300"/>
      <c r="AA89" s="300"/>
      <c r="AB89" s="300"/>
      <c r="AC89" s="300"/>
      <c r="AD89" s="300"/>
      <c r="AE89" s="300"/>
      <c r="AF89" s="248"/>
    </row>
    <row r="90" spans="1:32" ht="20.25" customHeight="1">
      <c r="A90" s="330"/>
      <c r="B90" s="327"/>
      <c r="C90" s="327"/>
      <c r="D90" s="327"/>
      <c r="E90" s="327"/>
      <c r="F90" s="327"/>
      <c r="G90" s="327"/>
      <c r="H90" s="327"/>
      <c r="I90" s="327"/>
      <c r="J90" s="327"/>
      <c r="K90" s="327"/>
      <c r="L90" s="327"/>
      <c r="M90" s="327"/>
      <c r="N90" s="327"/>
      <c r="O90" s="282"/>
      <c r="P90" s="282"/>
      <c r="Q90" s="282"/>
      <c r="R90" s="282"/>
      <c r="S90" s="282"/>
      <c r="T90" s="282"/>
      <c r="U90" s="282"/>
      <c r="V90" s="282"/>
      <c r="W90" s="282"/>
      <c r="X90" s="282"/>
      <c r="Y90" s="282"/>
      <c r="Z90" s="282"/>
      <c r="AA90" s="282"/>
      <c r="AB90" s="282"/>
      <c r="AC90" s="282"/>
      <c r="AD90" s="282"/>
      <c r="AE90" s="282"/>
      <c r="AF90" s="248"/>
    </row>
    <row r="91" spans="1:32" ht="20.25" customHeight="1">
      <c r="A91" s="279"/>
      <c r="B91" s="327"/>
      <c r="C91" s="327"/>
      <c r="D91" s="327"/>
      <c r="E91" s="327"/>
      <c r="F91" s="327"/>
      <c r="G91" s="327"/>
      <c r="H91" s="327"/>
      <c r="I91" s="327"/>
      <c r="J91" s="327"/>
      <c r="K91" s="327"/>
      <c r="L91" s="327"/>
      <c r="M91" s="327"/>
      <c r="N91" s="327"/>
      <c r="O91" s="291"/>
      <c r="P91" s="291"/>
      <c r="Q91" s="291"/>
      <c r="R91" s="291"/>
      <c r="S91" s="291"/>
      <c r="T91" s="291"/>
      <c r="U91" s="291"/>
      <c r="V91" s="291"/>
      <c r="W91" s="291"/>
      <c r="X91" s="291"/>
      <c r="Y91" s="291"/>
      <c r="Z91" s="291"/>
      <c r="AA91" s="291"/>
      <c r="AB91" s="291"/>
      <c r="AC91" s="291"/>
      <c r="AD91" s="291"/>
      <c r="AE91" s="291"/>
      <c r="AF91" s="248"/>
    </row>
    <row r="92" spans="1:32" ht="20.25" customHeight="1">
      <c r="A92" s="302"/>
      <c r="B92" s="282"/>
      <c r="C92" s="282"/>
      <c r="D92" s="282"/>
      <c r="E92" s="282"/>
      <c r="F92" s="282"/>
      <c r="G92" s="282"/>
      <c r="H92" s="282"/>
      <c r="I92" s="282"/>
      <c r="J92" s="282"/>
      <c r="K92" s="282"/>
      <c r="L92" s="282"/>
      <c r="M92" s="282"/>
      <c r="N92" s="282"/>
      <c r="O92" s="300"/>
      <c r="P92" s="300"/>
      <c r="Q92" s="300"/>
      <c r="R92" s="300"/>
      <c r="S92" s="300"/>
      <c r="T92" s="300"/>
      <c r="U92" s="300"/>
      <c r="V92" s="300"/>
      <c r="W92" s="300"/>
      <c r="X92" s="300"/>
      <c r="Y92" s="300"/>
      <c r="Z92" s="300"/>
      <c r="AA92" s="300"/>
      <c r="AB92" s="300"/>
      <c r="AC92" s="300"/>
      <c r="AD92" s="300"/>
      <c r="AE92" s="300"/>
      <c r="AF92" s="248"/>
    </row>
    <row r="93" spans="1:32" ht="20.25" customHeight="1">
      <c r="A93" s="302"/>
      <c r="B93" s="282"/>
      <c r="C93" s="282"/>
      <c r="D93" s="282"/>
      <c r="E93" s="282"/>
      <c r="F93" s="282"/>
      <c r="G93" s="282"/>
      <c r="H93" s="282"/>
      <c r="I93" s="282"/>
      <c r="J93" s="282"/>
      <c r="K93" s="282"/>
      <c r="L93" s="282"/>
      <c r="M93" s="282"/>
      <c r="N93" s="282"/>
      <c r="O93" s="300"/>
      <c r="P93" s="300"/>
      <c r="Q93" s="300"/>
      <c r="R93" s="300"/>
      <c r="S93" s="300"/>
      <c r="T93" s="300"/>
      <c r="U93" s="300"/>
      <c r="V93" s="300"/>
      <c r="W93" s="300"/>
      <c r="X93" s="300"/>
      <c r="Y93" s="300"/>
      <c r="Z93" s="300"/>
      <c r="AA93" s="300"/>
      <c r="AB93" s="300"/>
      <c r="AC93" s="300"/>
      <c r="AD93" s="300"/>
      <c r="AE93" s="300"/>
      <c r="AF93" s="248"/>
    </row>
    <row r="94" spans="1:32" ht="20.25" customHeight="1">
      <c r="A94" s="291"/>
      <c r="B94" s="282"/>
      <c r="C94" s="282"/>
      <c r="D94" s="282"/>
      <c r="E94" s="282"/>
      <c r="F94" s="282"/>
      <c r="G94" s="282"/>
      <c r="H94" s="282"/>
      <c r="I94" s="282"/>
      <c r="J94" s="282"/>
      <c r="K94" s="282"/>
      <c r="L94" s="282"/>
      <c r="M94" s="282"/>
      <c r="N94" s="282"/>
      <c r="O94" s="291"/>
      <c r="P94" s="291"/>
      <c r="Q94" s="291"/>
      <c r="R94" s="291"/>
      <c r="S94" s="291"/>
      <c r="T94" s="291"/>
      <c r="U94" s="291"/>
      <c r="V94" s="291"/>
      <c r="W94" s="291"/>
      <c r="X94" s="291"/>
      <c r="Y94" s="291"/>
      <c r="Z94" s="291"/>
      <c r="AA94" s="291"/>
      <c r="AB94" s="291"/>
      <c r="AC94" s="291"/>
      <c r="AD94" s="291"/>
      <c r="AE94" s="291"/>
      <c r="AF94" s="248"/>
    </row>
    <row r="95" spans="1:32" ht="20.25" customHeight="1">
      <c r="A95" s="305"/>
      <c r="B95" s="331"/>
      <c r="C95" s="331"/>
      <c r="D95" s="331"/>
      <c r="E95" s="331"/>
      <c r="F95" s="331"/>
      <c r="G95" s="331"/>
      <c r="H95" s="331"/>
      <c r="I95" s="331"/>
      <c r="J95" s="331"/>
      <c r="K95" s="331"/>
      <c r="L95" s="331"/>
      <c r="M95" s="331"/>
      <c r="N95" s="300"/>
      <c r="O95" s="305"/>
      <c r="P95" s="305"/>
      <c r="Q95" s="305"/>
      <c r="R95" s="305"/>
      <c r="S95" s="305"/>
      <c r="T95" s="305"/>
      <c r="U95" s="305"/>
      <c r="V95" s="305"/>
      <c r="W95" s="305"/>
      <c r="X95" s="305"/>
      <c r="Y95" s="305"/>
      <c r="Z95" s="305"/>
      <c r="AA95" s="305"/>
      <c r="AB95" s="305"/>
      <c r="AC95" s="305"/>
      <c r="AD95" s="305"/>
      <c r="AE95" s="305"/>
      <c r="AF95" s="248"/>
    </row>
    <row r="96" spans="1:32" ht="20.25" customHeight="1">
      <c r="A96" s="330"/>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48"/>
    </row>
    <row r="97" spans="1:32" ht="20.25" customHeight="1">
      <c r="A97" s="279"/>
      <c r="B97" s="331"/>
      <c r="C97" s="331"/>
      <c r="D97" s="331"/>
      <c r="E97" s="331"/>
      <c r="F97" s="331"/>
      <c r="G97" s="331"/>
      <c r="H97" s="331"/>
      <c r="I97" s="331"/>
      <c r="J97" s="331"/>
      <c r="K97" s="331"/>
      <c r="L97" s="331"/>
      <c r="M97" s="331"/>
      <c r="N97" s="300"/>
      <c r="O97" s="291"/>
      <c r="P97" s="291"/>
      <c r="Q97" s="291"/>
      <c r="R97" s="291"/>
      <c r="S97" s="291"/>
      <c r="T97" s="291"/>
      <c r="U97" s="291"/>
      <c r="V97" s="291"/>
      <c r="W97" s="291"/>
      <c r="X97" s="291"/>
      <c r="Y97" s="291"/>
      <c r="Z97" s="291"/>
      <c r="AA97" s="291"/>
      <c r="AB97" s="291"/>
      <c r="AC97" s="291"/>
      <c r="AD97" s="291"/>
      <c r="AE97" s="291"/>
      <c r="AF97" s="248"/>
    </row>
    <row r="98" spans="1:32" ht="20.25" customHeight="1">
      <c r="A98" s="302"/>
      <c r="B98" s="331"/>
      <c r="C98" s="331"/>
      <c r="D98" s="331"/>
      <c r="E98" s="331"/>
      <c r="F98" s="331"/>
      <c r="G98" s="331"/>
      <c r="H98" s="331"/>
      <c r="I98" s="331"/>
      <c r="J98" s="331"/>
      <c r="K98" s="331"/>
      <c r="L98" s="331"/>
      <c r="M98" s="331"/>
      <c r="N98" s="300"/>
      <c r="O98" s="300"/>
      <c r="P98" s="300"/>
      <c r="Q98" s="300"/>
      <c r="R98" s="300"/>
      <c r="S98" s="300"/>
      <c r="T98" s="300"/>
      <c r="U98" s="300"/>
      <c r="V98" s="300"/>
      <c r="W98" s="300"/>
      <c r="X98" s="300"/>
      <c r="Y98" s="300"/>
      <c r="Z98" s="300"/>
      <c r="AA98" s="300"/>
      <c r="AB98" s="300"/>
      <c r="AC98" s="300"/>
      <c r="AD98" s="300"/>
      <c r="AE98" s="300"/>
      <c r="AF98" s="248"/>
    </row>
    <row r="99" spans="1:32" ht="20.25" customHeight="1">
      <c r="A99" s="291"/>
      <c r="B99" s="319"/>
      <c r="C99" s="332"/>
      <c r="D99" s="332"/>
      <c r="E99" s="332"/>
      <c r="F99" s="332"/>
      <c r="G99" s="332"/>
      <c r="H99" s="332"/>
      <c r="I99" s="332"/>
      <c r="J99" s="332"/>
      <c r="K99" s="332"/>
      <c r="L99" s="332"/>
      <c r="M99" s="332"/>
      <c r="N99" s="282"/>
      <c r="O99" s="291"/>
      <c r="P99" s="291"/>
      <c r="Q99" s="291"/>
      <c r="R99" s="291"/>
      <c r="S99" s="291"/>
      <c r="T99" s="291"/>
      <c r="U99" s="291"/>
      <c r="V99" s="291"/>
      <c r="W99" s="291"/>
      <c r="X99" s="291"/>
      <c r="Y99" s="291"/>
      <c r="Z99" s="291"/>
      <c r="AA99" s="291"/>
      <c r="AB99" s="291"/>
      <c r="AC99" s="291"/>
      <c r="AD99" s="291"/>
      <c r="AE99" s="291"/>
      <c r="AF99" s="248"/>
    </row>
    <row r="100" spans="1:32" ht="20.25" customHeight="1">
      <c r="A100" s="305"/>
      <c r="B100" s="333"/>
      <c r="C100" s="333"/>
      <c r="D100" s="333"/>
      <c r="E100" s="333"/>
      <c r="F100" s="333"/>
      <c r="G100" s="333"/>
      <c r="H100" s="333"/>
      <c r="I100" s="333"/>
      <c r="J100" s="333"/>
      <c r="K100" s="333"/>
      <c r="L100" s="333"/>
      <c r="M100" s="333"/>
      <c r="N100" s="291"/>
      <c r="O100" s="305"/>
      <c r="P100" s="305"/>
      <c r="Q100" s="305"/>
      <c r="R100" s="305"/>
      <c r="S100" s="305"/>
      <c r="T100" s="305"/>
      <c r="U100" s="305"/>
      <c r="V100" s="305"/>
      <c r="W100" s="305"/>
      <c r="X100" s="305"/>
      <c r="Y100" s="305"/>
      <c r="Z100" s="305"/>
      <c r="AA100" s="305"/>
      <c r="AB100" s="305"/>
      <c r="AC100" s="305"/>
      <c r="AD100" s="305"/>
      <c r="AE100" s="305"/>
      <c r="AF100" s="248"/>
    </row>
    <row r="101" spans="1:32" ht="20.25" customHeight="1">
      <c r="A101" s="330"/>
      <c r="B101" s="319"/>
      <c r="C101" s="333"/>
      <c r="D101" s="333"/>
      <c r="E101" s="333"/>
      <c r="F101" s="333"/>
      <c r="G101" s="333"/>
      <c r="H101" s="331"/>
      <c r="I101" s="331"/>
      <c r="J101" s="331"/>
      <c r="K101" s="331"/>
      <c r="L101" s="331"/>
      <c r="M101" s="331"/>
      <c r="N101" s="300"/>
      <c r="O101" s="282"/>
      <c r="P101" s="282"/>
      <c r="Q101" s="282"/>
      <c r="R101" s="282"/>
      <c r="S101" s="282"/>
      <c r="T101" s="282"/>
      <c r="U101" s="282"/>
      <c r="V101" s="282"/>
      <c r="W101" s="282"/>
      <c r="X101" s="282"/>
      <c r="Y101" s="282"/>
      <c r="Z101" s="282"/>
      <c r="AA101" s="282"/>
      <c r="AB101" s="282"/>
      <c r="AC101" s="282"/>
      <c r="AD101" s="282"/>
      <c r="AE101" s="282"/>
      <c r="AF101" s="248"/>
    </row>
    <row r="102" spans="1:32" ht="20.25" customHeight="1">
      <c r="A102" s="279"/>
      <c r="B102" s="319"/>
      <c r="C102" s="333"/>
      <c r="D102" s="333"/>
      <c r="E102" s="333"/>
      <c r="F102" s="333"/>
      <c r="G102" s="333"/>
      <c r="H102" s="331"/>
      <c r="I102" s="331"/>
      <c r="J102" s="331"/>
      <c r="K102" s="331"/>
      <c r="L102" s="331"/>
      <c r="M102" s="331"/>
      <c r="N102" s="300"/>
      <c r="O102" s="291"/>
      <c r="P102" s="291"/>
      <c r="Q102" s="291"/>
      <c r="R102" s="291"/>
      <c r="S102" s="291"/>
      <c r="T102" s="291"/>
      <c r="U102" s="291"/>
      <c r="V102" s="291"/>
      <c r="W102" s="291"/>
      <c r="X102" s="291"/>
      <c r="Y102" s="291"/>
      <c r="Z102" s="291"/>
      <c r="AA102" s="291"/>
      <c r="AB102" s="291"/>
      <c r="AC102" s="291"/>
      <c r="AD102" s="291"/>
      <c r="AE102" s="291"/>
      <c r="AF102" s="248"/>
    </row>
    <row r="103" spans="1:32" ht="20.25" customHeight="1">
      <c r="A103" s="302"/>
      <c r="B103" s="333"/>
      <c r="C103" s="333"/>
      <c r="D103" s="333"/>
      <c r="E103" s="333"/>
      <c r="F103" s="333"/>
      <c r="G103" s="333"/>
      <c r="H103" s="333"/>
      <c r="I103" s="333"/>
      <c r="J103" s="333"/>
      <c r="K103" s="333"/>
      <c r="L103" s="333"/>
      <c r="M103" s="333"/>
      <c r="N103" s="291"/>
      <c r="O103" s="300"/>
      <c r="P103" s="300"/>
      <c r="Q103" s="300"/>
      <c r="R103" s="300"/>
      <c r="S103" s="300"/>
      <c r="T103" s="300"/>
      <c r="U103" s="300"/>
      <c r="V103" s="300"/>
      <c r="W103" s="300"/>
      <c r="X103" s="300"/>
      <c r="Y103" s="300"/>
      <c r="Z103" s="300"/>
      <c r="AA103" s="300"/>
      <c r="AB103" s="300"/>
      <c r="AC103" s="300"/>
      <c r="AD103" s="300"/>
      <c r="AE103" s="300"/>
      <c r="AF103" s="248"/>
    </row>
    <row r="104" spans="1:32" ht="20.25" customHeight="1">
      <c r="A104" s="302"/>
      <c r="B104" s="334"/>
      <c r="C104" s="334"/>
      <c r="D104" s="333"/>
      <c r="E104" s="334"/>
      <c r="F104" s="334"/>
      <c r="G104" s="334"/>
      <c r="H104" s="334"/>
      <c r="I104" s="334"/>
      <c r="J104" s="334"/>
      <c r="K104" s="334"/>
      <c r="L104" s="334"/>
      <c r="M104" s="334"/>
      <c r="N104" s="305"/>
      <c r="O104" s="300"/>
      <c r="P104" s="300"/>
      <c r="Q104" s="300"/>
      <c r="R104" s="300"/>
      <c r="S104" s="300"/>
      <c r="T104" s="300"/>
      <c r="U104" s="300"/>
      <c r="V104" s="300"/>
      <c r="W104" s="300"/>
      <c r="X104" s="300"/>
      <c r="Y104" s="300"/>
      <c r="Z104" s="300"/>
      <c r="AA104" s="300"/>
      <c r="AB104" s="300"/>
      <c r="AC104" s="300"/>
      <c r="AD104" s="300"/>
      <c r="AE104" s="300"/>
      <c r="AF104" s="248"/>
    </row>
    <row r="105" spans="1:32" ht="20.25" customHeight="1">
      <c r="A105" s="291"/>
      <c r="B105" s="332"/>
      <c r="C105" s="332"/>
      <c r="D105" s="332"/>
      <c r="E105" s="332"/>
      <c r="F105" s="332"/>
      <c r="G105" s="332"/>
      <c r="H105" s="332"/>
      <c r="I105" s="332"/>
      <c r="J105" s="332"/>
      <c r="K105" s="332"/>
      <c r="L105" s="332"/>
      <c r="M105" s="332"/>
      <c r="N105" s="282"/>
      <c r="O105" s="291"/>
      <c r="P105" s="291"/>
      <c r="Q105" s="291"/>
      <c r="R105" s="291"/>
      <c r="S105" s="291"/>
      <c r="T105" s="291"/>
      <c r="U105" s="291"/>
      <c r="V105" s="291"/>
      <c r="W105" s="291"/>
      <c r="X105" s="291"/>
      <c r="Y105" s="291"/>
      <c r="Z105" s="291"/>
      <c r="AA105" s="291"/>
      <c r="AB105" s="291"/>
      <c r="AC105" s="291"/>
      <c r="AD105" s="291"/>
      <c r="AE105" s="291"/>
      <c r="AF105" s="248"/>
    </row>
    <row r="106" spans="1:32" ht="20.25" customHeight="1">
      <c r="A106" s="305"/>
      <c r="B106" s="333"/>
      <c r="C106" s="333"/>
      <c r="D106" s="333"/>
      <c r="E106" s="333"/>
      <c r="F106" s="333"/>
      <c r="G106" s="333"/>
      <c r="H106" s="333"/>
      <c r="I106" s="333"/>
      <c r="J106" s="333"/>
      <c r="K106" s="333"/>
      <c r="L106" s="333"/>
      <c r="M106" s="333"/>
      <c r="N106" s="291"/>
      <c r="O106" s="305"/>
      <c r="P106" s="305"/>
      <c r="Q106" s="305"/>
      <c r="R106" s="305"/>
      <c r="S106" s="305"/>
      <c r="T106" s="305"/>
      <c r="U106" s="305"/>
      <c r="V106" s="305"/>
      <c r="W106" s="305"/>
      <c r="X106" s="305"/>
      <c r="Y106" s="305"/>
      <c r="Z106" s="305"/>
      <c r="AA106" s="305"/>
      <c r="AB106" s="305"/>
      <c r="AC106" s="305"/>
      <c r="AD106" s="305"/>
      <c r="AE106" s="305"/>
      <c r="AF106" s="248"/>
    </row>
    <row r="107" spans="1:32" ht="20.25" customHeight="1">
      <c r="A107" s="326"/>
      <c r="B107" s="331"/>
      <c r="C107" s="333"/>
      <c r="D107" s="333"/>
      <c r="E107" s="333"/>
      <c r="F107" s="333"/>
      <c r="G107" s="333"/>
      <c r="H107" s="331"/>
      <c r="I107" s="331"/>
      <c r="J107" s="331"/>
      <c r="K107" s="331"/>
      <c r="L107" s="331"/>
      <c r="M107" s="331"/>
      <c r="N107" s="300"/>
      <c r="O107" s="326"/>
      <c r="P107" s="326"/>
      <c r="Q107" s="326"/>
      <c r="R107" s="326"/>
      <c r="S107" s="326"/>
      <c r="T107" s="326"/>
      <c r="U107" s="326"/>
      <c r="V107" s="326"/>
      <c r="W107" s="326"/>
      <c r="X107" s="326"/>
      <c r="Y107" s="326"/>
      <c r="Z107" s="326"/>
      <c r="AA107" s="326"/>
      <c r="AB107" s="326"/>
      <c r="AC107" s="326"/>
      <c r="AD107" s="326"/>
      <c r="AE107" s="326"/>
      <c r="AF107" s="248"/>
    </row>
    <row r="108" spans="1:32" ht="20.25" customHeight="1">
      <c r="A108" s="291"/>
      <c r="B108" s="333"/>
      <c r="C108" s="333"/>
      <c r="D108" s="333"/>
      <c r="E108" s="333"/>
      <c r="F108" s="333"/>
      <c r="G108" s="333"/>
      <c r="H108" s="333"/>
      <c r="I108" s="333"/>
      <c r="J108" s="333"/>
      <c r="K108" s="333"/>
      <c r="L108" s="333"/>
      <c r="M108" s="333"/>
      <c r="N108" s="291"/>
      <c r="O108" s="291"/>
      <c r="P108" s="291"/>
      <c r="Q108" s="291"/>
      <c r="R108" s="291"/>
      <c r="S108" s="291"/>
      <c r="T108" s="291"/>
      <c r="U108" s="291"/>
      <c r="V108" s="291"/>
      <c r="W108" s="291"/>
      <c r="X108" s="291"/>
      <c r="Y108" s="291"/>
      <c r="Z108" s="291"/>
      <c r="AA108" s="291"/>
      <c r="AB108" s="291"/>
      <c r="AC108" s="291"/>
      <c r="AD108" s="291"/>
      <c r="AE108" s="291"/>
      <c r="AF108" s="248"/>
    </row>
    <row r="109" spans="1:32" ht="20.25" customHeight="1">
      <c r="A109" s="291"/>
      <c r="B109" s="334"/>
      <c r="C109" s="334"/>
      <c r="D109" s="333"/>
      <c r="E109" s="334"/>
      <c r="F109" s="334"/>
      <c r="G109" s="334"/>
      <c r="H109" s="334"/>
      <c r="I109" s="334"/>
      <c r="J109" s="334"/>
      <c r="K109" s="334"/>
      <c r="L109" s="334"/>
      <c r="M109" s="334"/>
      <c r="N109" s="305"/>
      <c r="O109" s="291"/>
      <c r="P109" s="291"/>
      <c r="Q109" s="291"/>
      <c r="R109" s="291"/>
      <c r="S109" s="291"/>
      <c r="T109" s="291"/>
      <c r="U109" s="291"/>
      <c r="V109" s="291"/>
      <c r="W109" s="291"/>
      <c r="X109" s="291"/>
      <c r="Y109" s="291"/>
      <c r="Z109" s="291"/>
      <c r="AA109" s="291"/>
      <c r="AB109" s="291"/>
      <c r="AC109" s="291"/>
      <c r="AD109" s="291"/>
      <c r="AE109" s="291"/>
      <c r="AF109" s="248"/>
    </row>
    <row r="110" spans="1:32" ht="20.25" customHeight="1">
      <c r="A110" s="282"/>
      <c r="B110" s="332"/>
      <c r="C110" s="332"/>
      <c r="D110" s="332"/>
      <c r="E110" s="332"/>
      <c r="F110" s="332"/>
      <c r="G110" s="332"/>
      <c r="H110" s="332"/>
      <c r="I110" s="332"/>
      <c r="J110" s="332"/>
      <c r="K110" s="332"/>
      <c r="L110" s="332"/>
      <c r="M110" s="332"/>
      <c r="N110" s="282"/>
      <c r="O110" s="282"/>
      <c r="P110" s="282"/>
      <c r="Q110" s="282"/>
      <c r="R110" s="282"/>
      <c r="S110" s="282"/>
      <c r="T110" s="282"/>
      <c r="U110" s="282"/>
      <c r="V110" s="282"/>
      <c r="W110" s="282"/>
      <c r="X110" s="282"/>
      <c r="Y110" s="282"/>
      <c r="Z110" s="282"/>
      <c r="AA110" s="282"/>
      <c r="AB110" s="282"/>
      <c r="AC110" s="282"/>
      <c r="AD110" s="282"/>
      <c r="AE110" s="282"/>
      <c r="AF110" s="248"/>
    </row>
    <row r="111" spans="1:32" ht="20.25" customHeight="1">
      <c r="A111" s="302"/>
      <c r="B111" s="333"/>
      <c r="C111" s="333"/>
      <c r="D111" s="333"/>
      <c r="E111" s="333"/>
      <c r="F111" s="333"/>
      <c r="G111" s="333"/>
      <c r="H111" s="333"/>
      <c r="I111" s="333"/>
      <c r="J111" s="333"/>
      <c r="K111" s="333"/>
      <c r="L111" s="333"/>
      <c r="M111" s="333"/>
      <c r="N111" s="291"/>
      <c r="O111" s="300"/>
      <c r="P111" s="300"/>
      <c r="Q111" s="300"/>
      <c r="R111" s="300"/>
      <c r="S111" s="300"/>
      <c r="T111" s="300"/>
      <c r="U111" s="300"/>
      <c r="V111" s="300"/>
      <c r="W111" s="300"/>
      <c r="X111" s="300"/>
      <c r="Y111" s="300"/>
      <c r="Z111" s="300"/>
      <c r="AA111" s="300"/>
      <c r="AB111" s="300"/>
      <c r="AC111" s="300"/>
      <c r="AD111" s="300"/>
      <c r="AE111" s="300"/>
      <c r="AF111" s="248"/>
    </row>
    <row r="112" spans="1:32" ht="20.25" customHeight="1">
      <c r="A112" s="302"/>
      <c r="B112" s="331"/>
      <c r="C112" s="333"/>
      <c r="D112" s="333"/>
      <c r="E112" s="333"/>
      <c r="F112" s="333"/>
      <c r="G112" s="333"/>
      <c r="H112" s="331"/>
      <c r="I112" s="331"/>
      <c r="J112" s="331"/>
      <c r="K112" s="331"/>
      <c r="L112" s="331"/>
      <c r="M112" s="331"/>
      <c r="N112" s="300"/>
      <c r="O112" s="300"/>
      <c r="P112" s="300"/>
      <c r="Q112" s="300"/>
      <c r="R112" s="300"/>
      <c r="S112" s="300"/>
      <c r="T112" s="300"/>
      <c r="U112" s="300"/>
      <c r="V112" s="300"/>
      <c r="W112" s="300"/>
      <c r="X112" s="300"/>
      <c r="Y112" s="300"/>
      <c r="Z112" s="300"/>
      <c r="AA112" s="300"/>
      <c r="AB112" s="300"/>
      <c r="AC112" s="300"/>
      <c r="AD112" s="300"/>
      <c r="AE112" s="300"/>
      <c r="AF112" s="248"/>
    </row>
    <row r="113" spans="1:32" ht="20.25" customHeight="1">
      <c r="A113" s="291"/>
      <c r="B113" s="331"/>
      <c r="C113" s="333"/>
      <c r="D113" s="333"/>
      <c r="E113" s="333"/>
      <c r="F113" s="333"/>
      <c r="G113" s="333"/>
      <c r="H113" s="331"/>
      <c r="I113" s="331"/>
      <c r="J113" s="331"/>
      <c r="K113" s="331"/>
      <c r="L113" s="331"/>
      <c r="M113" s="331"/>
      <c r="N113" s="300"/>
      <c r="O113" s="291"/>
      <c r="P113" s="291"/>
      <c r="Q113" s="291"/>
      <c r="R113" s="291"/>
      <c r="S113" s="291"/>
      <c r="T113" s="291"/>
      <c r="U113" s="291"/>
      <c r="V113" s="291"/>
      <c r="W113" s="291"/>
      <c r="X113" s="291"/>
      <c r="Y113" s="291"/>
      <c r="Z113" s="291"/>
      <c r="AA113" s="291"/>
      <c r="AB113" s="291"/>
      <c r="AC113" s="291"/>
      <c r="AD113" s="291"/>
      <c r="AE113" s="291"/>
      <c r="AF113" s="248"/>
    </row>
    <row r="114" spans="1:32" ht="20.25" customHeight="1">
      <c r="A114" s="282"/>
      <c r="B114" s="333"/>
      <c r="C114" s="333"/>
      <c r="D114" s="333"/>
      <c r="E114" s="333"/>
      <c r="F114" s="333"/>
      <c r="G114" s="333"/>
      <c r="H114" s="333"/>
      <c r="I114" s="333"/>
      <c r="J114" s="333"/>
      <c r="K114" s="333"/>
      <c r="L114" s="333"/>
      <c r="M114" s="333"/>
      <c r="N114" s="291"/>
      <c r="O114" s="282"/>
      <c r="P114" s="282"/>
      <c r="Q114" s="282"/>
      <c r="R114" s="282"/>
      <c r="S114" s="282"/>
      <c r="T114" s="282"/>
      <c r="U114" s="282"/>
      <c r="V114" s="282"/>
      <c r="W114" s="282"/>
      <c r="X114" s="282"/>
      <c r="Y114" s="282"/>
      <c r="Z114" s="282"/>
      <c r="AA114" s="282"/>
      <c r="AB114" s="282"/>
      <c r="AC114" s="282"/>
      <c r="AD114" s="282"/>
      <c r="AE114" s="282"/>
      <c r="AF114" s="248"/>
    </row>
    <row r="115" spans="1:32" ht="20.25" customHeight="1">
      <c r="A115" s="302"/>
      <c r="B115" s="334"/>
      <c r="C115" s="334"/>
      <c r="D115" s="333"/>
      <c r="E115" s="334"/>
      <c r="F115" s="334"/>
      <c r="G115" s="334"/>
      <c r="H115" s="334"/>
      <c r="I115" s="334"/>
      <c r="J115" s="334"/>
      <c r="K115" s="334"/>
      <c r="L115" s="334"/>
      <c r="M115" s="334"/>
      <c r="N115" s="305"/>
      <c r="O115" s="300"/>
      <c r="P115" s="300"/>
      <c r="Q115" s="300"/>
      <c r="R115" s="300"/>
      <c r="S115" s="300"/>
      <c r="T115" s="300"/>
      <c r="U115" s="300"/>
      <c r="V115" s="300"/>
      <c r="W115" s="300"/>
      <c r="X115" s="300"/>
      <c r="Y115" s="300"/>
      <c r="Z115" s="300"/>
      <c r="AA115" s="300"/>
      <c r="AB115" s="300"/>
      <c r="AC115" s="300"/>
      <c r="AD115" s="300"/>
      <c r="AE115" s="300"/>
      <c r="AF115" s="248"/>
    </row>
    <row r="116" spans="1:32" ht="20.25" customHeight="1">
      <c r="A116" s="302"/>
      <c r="B116" s="335"/>
      <c r="C116" s="335"/>
      <c r="D116" s="335"/>
      <c r="E116" s="335"/>
      <c r="F116" s="335"/>
      <c r="G116" s="335"/>
      <c r="H116" s="335"/>
      <c r="I116" s="335"/>
      <c r="J116" s="335"/>
      <c r="K116" s="335"/>
      <c r="L116" s="335"/>
      <c r="M116" s="335"/>
      <c r="N116" s="326"/>
      <c r="O116" s="300"/>
      <c r="P116" s="300"/>
      <c r="Q116" s="300"/>
      <c r="R116" s="300"/>
      <c r="S116" s="300"/>
      <c r="T116" s="300"/>
      <c r="U116" s="300"/>
      <c r="V116" s="300"/>
      <c r="W116" s="300"/>
      <c r="X116" s="300"/>
      <c r="Y116" s="300"/>
      <c r="Z116" s="300"/>
      <c r="AA116" s="300"/>
      <c r="AB116" s="300"/>
      <c r="AC116" s="300"/>
      <c r="AD116" s="300"/>
      <c r="AE116" s="300"/>
      <c r="AF116" s="248"/>
    </row>
    <row r="117" spans="1:32" ht="20.25" customHeight="1">
      <c r="A117" s="291"/>
      <c r="B117" s="333"/>
      <c r="C117" s="333"/>
      <c r="D117" s="333"/>
      <c r="E117" s="333"/>
      <c r="F117" s="333"/>
      <c r="G117" s="333"/>
      <c r="H117" s="333"/>
      <c r="I117" s="333"/>
      <c r="J117" s="333"/>
      <c r="K117" s="333"/>
      <c r="L117" s="333"/>
      <c r="M117" s="333"/>
      <c r="N117" s="291"/>
      <c r="O117" s="291"/>
      <c r="P117" s="291"/>
      <c r="Q117" s="291"/>
      <c r="R117" s="291"/>
      <c r="S117" s="291"/>
      <c r="T117" s="291"/>
      <c r="U117" s="291"/>
      <c r="V117" s="291"/>
      <c r="W117" s="291"/>
      <c r="X117" s="291"/>
      <c r="Y117" s="291"/>
      <c r="Z117" s="291"/>
      <c r="AA117" s="291"/>
      <c r="AB117" s="291"/>
      <c r="AC117" s="291"/>
      <c r="AD117" s="291"/>
      <c r="AE117" s="291"/>
      <c r="AF117" s="248"/>
    </row>
    <row r="118" spans="1:32" ht="20.25" customHeight="1">
      <c r="A118" s="305"/>
      <c r="B118" s="319"/>
      <c r="C118" s="333"/>
      <c r="D118" s="333"/>
      <c r="E118" s="333"/>
      <c r="F118" s="333"/>
      <c r="G118" s="333"/>
      <c r="H118" s="333"/>
      <c r="I118" s="333"/>
      <c r="J118" s="333"/>
      <c r="K118" s="333"/>
      <c r="L118" s="333"/>
      <c r="M118" s="333"/>
      <c r="N118" s="291"/>
      <c r="O118" s="305"/>
      <c r="P118" s="305"/>
      <c r="Q118" s="305"/>
      <c r="R118" s="305"/>
      <c r="S118" s="305"/>
      <c r="T118" s="305"/>
      <c r="U118" s="305"/>
      <c r="V118" s="305"/>
      <c r="W118" s="305"/>
      <c r="X118" s="305"/>
      <c r="Y118" s="305"/>
      <c r="Z118" s="305"/>
      <c r="AA118" s="305"/>
      <c r="AB118" s="305"/>
      <c r="AC118" s="305"/>
      <c r="AD118" s="305"/>
      <c r="AE118" s="305"/>
      <c r="AF118" s="248"/>
    </row>
    <row r="119" spans="1:32" ht="20.25" customHeight="1">
      <c r="A119" s="291"/>
      <c r="B119" s="332"/>
      <c r="C119" s="332"/>
      <c r="D119" s="332"/>
      <c r="E119" s="332"/>
      <c r="F119" s="332"/>
      <c r="G119" s="332"/>
      <c r="H119" s="332"/>
      <c r="I119" s="332"/>
      <c r="J119" s="332"/>
      <c r="K119" s="332"/>
      <c r="L119" s="332"/>
      <c r="M119" s="332"/>
      <c r="N119" s="282"/>
      <c r="O119" s="291"/>
      <c r="P119" s="291"/>
      <c r="Q119" s="291"/>
      <c r="R119" s="291"/>
      <c r="S119" s="291"/>
      <c r="T119" s="291"/>
      <c r="U119" s="291"/>
      <c r="V119" s="291"/>
      <c r="W119" s="291"/>
      <c r="X119" s="291"/>
      <c r="Y119" s="291"/>
      <c r="Z119" s="291"/>
      <c r="AA119" s="291"/>
      <c r="AB119" s="291"/>
      <c r="AC119" s="291"/>
      <c r="AD119" s="291"/>
      <c r="AE119" s="291"/>
      <c r="AF119" s="248"/>
    </row>
    <row r="120" spans="1:32" ht="20.25" customHeight="1">
      <c r="A120" s="282"/>
      <c r="B120" s="331"/>
      <c r="C120" s="333"/>
      <c r="D120" s="333"/>
      <c r="E120" s="333"/>
      <c r="F120" s="333"/>
      <c r="G120" s="333"/>
      <c r="H120" s="331"/>
      <c r="I120" s="331"/>
      <c r="J120" s="331"/>
      <c r="K120" s="331"/>
      <c r="L120" s="331"/>
      <c r="M120" s="331"/>
      <c r="N120" s="300"/>
      <c r="O120" s="282"/>
      <c r="P120" s="282"/>
      <c r="Q120" s="282"/>
      <c r="R120" s="282"/>
      <c r="S120" s="282"/>
      <c r="T120" s="282"/>
      <c r="U120" s="282"/>
      <c r="V120" s="282"/>
      <c r="W120" s="282"/>
      <c r="X120" s="282"/>
      <c r="Y120" s="282"/>
      <c r="Z120" s="282"/>
      <c r="AA120" s="282"/>
      <c r="AB120" s="282"/>
      <c r="AC120" s="282"/>
      <c r="AD120" s="282"/>
      <c r="AE120" s="282"/>
      <c r="AF120" s="248"/>
    </row>
    <row r="121" spans="1:32" ht="20.25" customHeight="1">
      <c r="A121" s="282"/>
      <c r="B121" s="302"/>
      <c r="C121" s="291"/>
      <c r="D121" s="291"/>
      <c r="E121" s="291"/>
      <c r="F121" s="291"/>
      <c r="G121" s="291"/>
      <c r="H121" s="300"/>
      <c r="I121" s="300"/>
      <c r="J121" s="300"/>
      <c r="K121" s="300"/>
      <c r="L121" s="300"/>
      <c r="M121" s="300"/>
      <c r="N121" s="300"/>
      <c r="O121" s="282"/>
      <c r="P121" s="282"/>
      <c r="Q121" s="282"/>
      <c r="R121" s="282"/>
      <c r="S121" s="282"/>
      <c r="T121" s="282"/>
      <c r="U121" s="282"/>
      <c r="V121" s="282"/>
      <c r="W121" s="282"/>
      <c r="X121" s="282"/>
      <c r="Y121" s="282"/>
      <c r="Z121" s="282"/>
      <c r="AA121" s="282"/>
      <c r="AB121" s="282"/>
      <c r="AC121" s="282"/>
      <c r="AD121" s="282"/>
      <c r="AE121" s="282"/>
      <c r="AF121" s="248"/>
    </row>
    <row r="122" spans="1:32" ht="20.25" customHeight="1">
      <c r="A122" s="282"/>
      <c r="B122" s="279"/>
      <c r="C122" s="291"/>
      <c r="D122" s="291"/>
      <c r="E122" s="291"/>
      <c r="F122" s="291"/>
      <c r="G122" s="291"/>
      <c r="H122" s="291"/>
      <c r="I122" s="291"/>
      <c r="J122" s="291"/>
      <c r="K122" s="291"/>
      <c r="L122" s="291"/>
      <c r="M122" s="291"/>
      <c r="N122" s="291"/>
      <c r="O122" s="282"/>
      <c r="P122" s="282"/>
      <c r="Q122" s="282"/>
      <c r="R122" s="282"/>
      <c r="S122" s="282"/>
      <c r="T122" s="282"/>
      <c r="U122" s="282"/>
      <c r="V122" s="282"/>
      <c r="W122" s="282"/>
      <c r="X122" s="282"/>
      <c r="Y122" s="282"/>
      <c r="Z122" s="282"/>
      <c r="AA122" s="282"/>
      <c r="AB122" s="282"/>
      <c r="AC122" s="282"/>
      <c r="AD122" s="282"/>
      <c r="AE122" s="282"/>
      <c r="AF122" s="248"/>
    </row>
    <row r="123" spans="1:32" ht="17.25" customHeight="1">
      <c r="A123" s="282"/>
      <c r="B123" s="332"/>
      <c r="C123" s="332"/>
      <c r="D123" s="332"/>
      <c r="E123" s="332"/>
      <c r="F123" s="332"/>
      <c r="G123" s="332"/>
      <c r="H123" s="332"/>
      <c r="I123" s="332"/>
      <c r="J123" s="332"/>
      <c r="K123" s="332"/>
      <c r="L123" s="332"/>
      <c r="M123" s="332"/>
      <c r="N123" s="282"/>
      <c r="O123" s="291"/>
      <c r="P123" s="291"/>
      <c r="Q123" s="291"/>
      <c r="R123" s="291"/>
      <c r="S123" s="291"/>
      <c r="T123" s="291"/>
      <c r="U123" s="291"/>
      <c r="V123" s="291"/>
      <c r="W123" s="291"/>
      <c r="X123" s="291"/>
      <c r="Y123" s="291"/>
      <c r="Z123" s="291"/>
      <c r="AA123" s="291"/>
      <c r="AB123" s="291"/>
      <c r="AC123" s="282"/>
      <c r="AD123" s="282"/>
      <c r="AE123" s="282"/>
      <c r="AF123" s="248"/>
    </row>
    <row r="124" spans="1:32" ht="25" customHeight="1">
      <c r="A124" s="291"/>
      <c r="B124" s="331"/>
      <c r="C124" s="333"/>
      <c r="D124" s="333"/>
      <c r="E124" s="333"/>
      <c r="F124" s="333"/>
      <c r="G124" s="333"/>
      <c r="H124" s="331"/>
      <c r="I124" s="331"/>
      <c r="J124" s="331"/>
      <c r="K124" s="331"/>
      <c r="L124" s="331"/>
      <c r="M124" s="331"/>
      <c r="N124" s="300"/>
      <c r="O124" s="291"/>
      <c r="P124" s="291"/>
      <c r="Q124" s="291"/>
      <c r="R124" s="291"/>
      <c r="S124" s="291"/>
      <c r="T124" s="291"/>
      <c r="U124" s="291"/>
      <c r="V124" s="291"/>
      <c r="W124" s="291"/>
      <c r="X124" s="291"/>
      <c r="Y124" s="291"/>
      <c r="Z124" s="291"/>
      <c r="AA124" s="291"/>
      <c r="AB124" s="291"/>
      <c r="AC124" s="282"/>
      <c r="AD124" s="282"/>
      <c r="AE124" s="291"/>
      <c r="AF124" s="248"/>
    </row>
    <row r="125" spans="1:32" ht="30" customHeight="1">
      <c r="A125" s="291"/>
      <c r="B125" s="302"/>
      <c r="C125" s="291"/>
      <c r="D125" s="291"/>
      <c r="E125" s="291"/>
      <c r="F125" s="291"/>
      <c r="G125" s="291"/>
      <c r="H125" s="300"/>
      <c r="I125" s="300"/>
      <c r="J125" s="300"/>
      <c r="K125" s="300"/>
      <c r="L125" s="300"/>
      <c r="M125" s="300"/>
      <c r="N125" s="300"/>
      <c r="O125" s="336"/>
      <c r="P125" s="336"/>
      <c r="Q125" s="336"/>
      <c r="R125" s="336"/>
      <c r="S125" s="336"/>
      <c r="T125" s="336"/>
      <c r="U125" s="336"/>
      <c r="V125" s="336"/>
      <c r="W125" s="336"/>
      <c r="X125" s="336"/>
      <c r="Y125" s="336"/>
      <c r="Z125" s="336"/>
      <c r="AA125" s="336"/>
      <c r="AB125" s="336"/>
      <c r="AC125" s="291"/>
      <c r="AD125" s="291"/>
      <c r="AE125" s="291"/>
      <c r="AF125" s="248"/>
    </row>
    <row r="126" spans="1:32" s="339" customFormat="1" ht="30" customHeight="1">
      <c r="A126" s="292"/>
      <c r="B126" s="279"/>
      <c r="C126" s="291"/>
      <c r="D126" s="291"/>
      <c r="E126" s="291"/>
      <c r="F126" s="291"/>
      <c r="G126" s="291"/>
      <c r="H126" s="291"/>
      <c r="I126" s="291"/>
      <c r="J126" s="291"/>
      <c r="K126" s="291"/>
      <c r="L126" s="291"/>
      <c r="M126" s="291"/>
      <c r="N126" s="291"/>
      <c r="O126" s="337"/>
      <c r="P126" s="337"/>
      <c r="Q126" s="337"/>
      <c r="R126" s="337"/>
      <c r="S126" s="337"/>
      <c r="T126" s="337"/>
      <c r="U126" s="337"/>
      <c r="V126" s="337"/>
      <c r="W126" s="337"/>
      <c r="X126" s="337"/>
      <c r="Y126" s="337"/>
      <c r="Z126" s="337"/>
      <c r="AA126" s="337"/>
      <c r="AB126" s="338"/>
      <c r="AC126" s="292"/>
      <c r="AD126" s="292"/>
      <c r="AE126" s="292"/>
      <c r="AF126" s="248"/>
    </row>
    <row r="127" spans="1:32" ht="30" customHeight="1">
      <c r="A127" s="326"/>
      <c r="B127" s="305"/>
      <c r="C127" s="305"/>
      <c r="D127" s="291"/>
      <c r="E127" s="305"/>
      <c r="F127" s="305"/>
      <c r="G127" s="305"/>
      <c r="H127" s="305"/>
      <c r="I127" s="305"/>
      <c r="J127" s="305"/>
      <c r="K127" s="305"/>
      <c r="L127" s="305"/>
      <c r="M127" s="305"/>
      <c r="N127" s="305"/>
      <c r="O127" s="340"/>
      <c r="P127" s="340"/>
      <c r="Q127" s="340"/>
      <c r="R127" s="340"/>
      <c r="S127" s="340"/>
      <c r="T127" s="341"/>
      <c r="U127" s="341"/>
      <c r="V127" s="341"/>
      <c r="W127" s="341"/>
      <c r="X127" s="341"/>
      <c r="Y127" s="341"/>
      <c r="Z127" s="341"/>
      <c r="AA127" s="341"/>
      <c r="AB127" s="342"/>
      <c r="AC127" s="326"/>
      <c r="AD127" s="326"/>
      <c r="AE127" s="326"/>
      <c r="AF127" s="248"/>
    </row>
    <row r="128" spans="1:32" ht="30" customHeight="1">
      <c r="A128" s="291"/>
      <c r="B128" s="279"/>
      <c r="C128" s="291"/>
      <c r="D128" s="291"/>
      <c r="E128" s="291"/>
      <c r="F128" s="291"/>
      <c r="G128" s="291"/>
      <c r="H128" s="291"/>
      <c r="I128" s="291"/>
      <c r="J128" s="291"/>
      <c r="K128" s="291"/>
      <c r="L128" s="291"/>
      <c r="M128" s="291"/>
      <c r="N128" s="291"/>
      <c r="O128" s="343"/>
      <c r="P128" s="343"/>
      <c r="Q128" s="343"/>
      <c r="R128" s="343"/>
      <c r="S128" s="343"/>
      <c r="T128" s="344"/>
      <c r="U128" s="344"/>
      <c r="V128" s="344"/>
      <c r="W128" s="344"/>
      <c r="X128" s="344"/>
      <c r="Y128" s="344"/>
      <c r="Z128" s="344"/>
      <c r="AA128" s="344"/>
      <c r="AB128" s="345"/>
      <c r="AC128" s="291"/>
      <c r="AD128" s="291"/>
      <c r="AE128" s="291"/>
      <c r="AF128" s="248"/>
    </row>
    <row r="129" spans="1:32" ht="30" customHeight="1">
      <c r="A129" s="291"/>
      <c r="B129" s="278"/>
      <c r="C129" s="282"/>
      <c r="D129" s="282"/>
      <c r="E129" s="282"/>
      <c r="F129" s="282"/>
      <c r="G129" s="282"/>
      <c r="H129" s="282"/>
      <c r="I129" s="282"/>
      <c r="J129" s="282"/>
      <c r="K129" s="282"/>
      <c r="L129" s="282"/>
      <c r="M129" s="282"/>
      <c r="N129" s="282"/>
      <c r="O129" s="343"/>
      <c r="P129" s="343"/>
      <c r="Q129" s="343"/>
      <c r="R129" s="343"/>
      <c r="S129" s="343"/>
      <c r="T129" s="344"/>
      <c r="U129" s="344"/>
      <c r="V129" s="344"/>
      <c r="W129" s="344"/>
      <c r="X129" s="344"/>
      <c r="Y129" s="344"/>
      <c r="Z129" s="344"/>
      <c r="AA129" s="344"/>
      <c r="AB129" s="345"/>
      <c r="AC129" s="291"/>
      <c r="AD129" s="291"/>
      <c r="AE129" s="291"/>
      <c r="AF129" s="248"/>
    </row>
    <row r="130" spans="1:32" ht="30" customHeight="1">
      <c r="A130" s="291"/>
      <c r="B130" s="278"/>
      <c r="C130" s="282"/>
      <c r="D130" s="282"/>
      <c r="E130" s="282"/>
      <c r="F130" s="282"/>
      <c r="G130" s="282"/>
      <c r="H130" s="282"/>
      <c r="I130" s="282"/>
      <c r="J130" s="282"/>
      <c r="K130" s="282"/>
      <c r="L130" s="282"/>
      <c r="M130" s="282"/>
      <c r="N130" s="282"/>
      <c r="O130" s="343"/>
      <c r="P130" s="343"/>
      <c r="Q130" s="343"/>
      <c r="R130" s="343"/>
      <c r="S130" s="343"/>
      <c r="T130" s="344"/>
      <c r="U130" s="344"/>
      <c r="V130" s="344"/>
      <c r="W130" s="344"/>
      <c r="X130" s="344"/>
      <c r="Y130" s="344"/>
      <c r="Z130" s="344"/>
      <c r="AA130" s="344"/>
      <c r="AB130" s="345"/>
      <c r="AC130" s="291"/>
      <c r="AD130" s="291"/>
      <c r="AE130" s="291"/>
      <c r="AF130" s="248"/>
    </row>
    <row r="131" spans="1:32" ht="30" customHeight="1">
      <c r="A131" s="282"/>
      <c r="B131" s="278"/>
      <c r="C131" s="282"/>
      <c r="D131" s="282"/>
      <c r="E131" s="282"/>
      <c r="F131" s="282"/>
      <c r="G131" s="282"/>
      <c r="H131" s="282"/>
      <c r="I131" s="282"/>
      <c r="J131" s="282"/>
      <c r="K131" s="282"/>
      <c r="L131" s="282"/>
      <c r="M131" s="282"/>
      <c r="N131" s="282"/>
      <c r="O131" s="343"/>
      <c r="P131" s="343"/>
      <c r="Q131" s="343"/>
      <c r="R131" s="343"/>
      <c r="S131" s="343"/>
      <c r="T131" s="344"/>
      <c r="U131" s="344"/>
      <c r="V131" s="344"/>
      <c r="W131" s="344"/>
      <c r="X131" s="344"/>
      <c r="Y131" s="344"/>
      <c r="Z131" s="344"/>
      <c r="AA131" s="344"/>
      <c r="AB131" s="345"/>
      <c r="AC131" s="282"/>
      <c r="AD131" s="282"/>
      <c r="AE131" s="282"/>
      <c r="AF131" s="248"/>
    </row>
    <row r="132" spans="1:32" ht="30" customHeight="1">
      <c r="A132" s="282"/>
      <c r="B132" s="278"/>
      <c r="C132" s="282"/>
      <c r="D132" s="282"/>
      <c r="E132" s="282"/>
      <c r="F132" s="282"/>
      <c r="G132" s="282"/>
      <c r="H132" s="291"/>
      <c r="I132" s="291"/>
      <c r="J132" s="291"/>
      <c r="K132" s="291"/>
      <c r="L132" s="291"/>
      <c r="M132" s="291"/>
      <c r="N132" s="291"/>
      <c r="O132" s="340"/>
      <c r="P132" s="340"/>
      <c r="Q132" s="340"/>
      <c r="R132" s="340"/>
      <c r="S132" s="340"/>
      <c r="T132" s="340"/>
      <c r="U132" s="340"/>
      <c r="V132" s="340"/>
      <c r="W132" s="340"/>
      <c r="X132" s="340"/>
      <c r="Y132" s="340"/>
      <c r="Z132" s="340"/>
      <c r="AA132" s="340"/>
      <c r="AB132" s="346"/>
      <c r="AC132" s="282"/>
      <c r="AD132" s="282"/>
      <c r="AE132" s="282"/>
      <c r="AF132" s="248"/>
    </row>
    <row r="133" spans="1:32" ht="20.25" customHeight="1">
      <c r="A133" s="282"/>
      <c r="B133" s="347"/>
      <c r="C133" s="291"/>
      <c r="D133" s="291"/>
      <c r="E133" s="291"/>
      <c r="F133" s="291"/>
      <c r="G133" s="291"/>
      <c r="H133" s="291"/>
      <c r="I133" s="291"/>
      <c r="J133" s="291"/>
      <c r="K133" s="291"/>
      <c r="L133" s="291"/>
      <c r="M133" s="291"/>
      <c r="N133" s="291"/>
      <c r="O133" s="282"/>
      <c r="P133" s="282"/>
      <c r="Q133" s="282"/>
      <c r="R133" s="282"/>
      <c r="S133" s="282"/>
      <c r="T133" s="282"/>
      <c r="U133" s="282"/>
      <c r="V133" s="282"/>
      <c r="W133" s="282"/>
      <c r="X133" s="282"/>
      <c r="Y133" s="282"/>
      <c r="Z133" s="282"/>
      <c r="AA133" s="282"/>
      <c r="AB133" s="282"/>
      <c r="AC133" s="282"/>
      <c r="AD133" s="282"/>
      <c r="AE133" s="282"/>
      <c r="AF133" s="248"/>
    </row>
    <row r="134" spans="1:32" ht="20.25" customHeight="1">
      <c r="A134" s="282"/>
      <c r="B134" s="348"/>
      <c r="C134" s="349"/>
      <c r="D134" s="349"/>
      <c r="E134" s="349"/>
      <c r="F134" s="349"/>
      <c r="G134" s="349"/>
      <c r="H134" s="336"/>
      <c r="I134" s="336"/>
      <c r="J134" s="336"/>
      <c r="K134" s="336"/>
      <c r="L134" s="336"/>
      <c r="M134" s="336"/>
      <c r="N134" s="336"/>
      <c r="O134" s="282"/>
      <c r="P134" s="282"/>
      <c r="Q134" s="282"/>
      <c r="R134" s="282"/>
      <c r="S134" s="282"/>
      <c r="T134" s="282"/>
      <c r="U134" s="282"/>
      <c r="V134" s="282"/>
      <c r="W134" s="282"/>
      <c r="X134" s="282"/>
      <c r="Y134" s="282"/>
      <c r="Z134" s="282"/>
      <c r="AA134" s="282"/>
      <c r="AB134" s="282"/>
      <c r="AC134" s="282"/>
      <c r="AD134" s="282"/>
      <c r="AE134" s="282"/>
      <c r="AF134" s="248"/>
    </row>
    <row r="135" spans="1:32" ht="20.25" customHeight="1">
      <c r="A135" s="282"/>
      <c r="B135" s="337"/>
      <c r="C135" s="337"/>
      <c r="D135" s="337"/>
      <c r="E135" s="337"/>
      <c r="F135" s="337"/>
      <c r="G135" s="337"/>
      <c r="H135" s="337"/>
      <c r="I135" s="337"/>
      <c r="J135" s="337"/>
      <c r="K135" s="337"/>
      <c r="L135" s="337"/>
      <c r="M135" s="337"/>
      <c r="N135" s="337"/>
      <c r="O135" s="282"/>
      <c r="P135" s="282"/>
      <c r="Q135" s="282"/>
      <c r="R135" s="282"/>
      <c r="S135" s="291"/>
      <c r="T135" s="291"/>
      <c r="U135" s="291"/>
      <c r="V135" s="291"/>
      <c r="W135" s="291"/>
      <c r="X135" s="291"/>
      <c r="Y135" s="291"/>
      <c r="Z135" s="291"/>
      <c r="AA135" s="282"/>
      <c r="AB135" s="282"/>
      <c r="AC135" s="282"/>
      <c r="AD135" s="282"/>
      <c r="AE135" s="282"/>
      <c r="AF135" s="248"/>
    </row>
    <row r="136" spans="1:32" ht="20.25" customHeight="1">
      <c r="A136" s="291"/>
      <c r="B136" s="350"/>
      <c r="C136" s="350"/>
      <c r="D136" s="350"/>
      <c r="E136" s="350"/>
      <c r="F136" s="350"/>
      <c r="G136" s="350"/>
      <c r="H136" s="350"/>
      <c r="I136" s="350"/>
      <c r="J136" s="350"/>
      <c r="K136" s="350"/>
      <c r="L136" s="340"/>
      <c r="M136" s="340"/>
      <c r="N136" s="340"/>
      <c r="O136" s="282"/>
      <c r="P136" s="282"/>
      <c r="Q136" s="282"/>
      <c r="R136" s="282"/>
      <c r="S136" s="291"/>
      <c r="T136" s="291"/>
      <c r="U136" s="291"/>
      <c r="V136" s="291"/>
      <c r="W136" s="291"/>
      <c r="X136" s="291"/>
      <c r="Y136" s="291"/>
      <c r="Z136" s="291"/>
      <c r="AA136" s="291"/>
      <c r="AB136" s="291"/>
      <c r="AC136" s="291"/>
      <c r="AD136" s="336"/>
      <c r="AE136" s="336"/>
      <c r="AF136" s="248"/>
    </row>
    <row r="137" spans="1:32" ht="25" customHeight="1">
      <c r="A137" s="291"/>
      <c r="B137" s="351"/>
      <c r="C137" s="351"/>
      <c r="D137" s="351"/>
      <c r="E137" s="351"/>
      <c r="F137" s="351"/>
      <c r="G137" s="351"/>
      <c r="H137" s="351"/>
      <c r="I137" s="351"/>
      <c r="J137" s="351"/>
      <c r="K137" s="351"/>
      <c r="L137" s="343"/>
      <c r="M137" s="343"/>
      <c r="N137" s="343"/>
      <c r="O137" s="282"/>
      <c r="P137" s="282"/>
      <c r="Q137" s="282"/>
      <c r="R137" s="282"/>
      <c r="S137" s="282"/>
      <c r="T137" s="282"/>
      <c r="U137" s="282"/>
      <c r="V137" s="282"/>
      <c r="W137" s="282"/>
      <c r="X137" s="282"/>
      <c r="Y137" s="282"/>
      <c r="Z137" s="282"/>
      <c r="AA137" s="291"/>
      <c r="AB137" s="291"/>
      <c r="AC137" s="291"/>
      <c r="AD137" s="352"/>
      <c r="AE137" s="352"/>
      <c r="AF137" s="248"/>
    </row>
    <row r="138" spans="1:32" ht="22" customHeight="1">
      <c r="A138" s="300"/>
      <c r="B138" s="351"/>
      <c r="C138" s="351"/>
      <c r="D138" s="351"/>
      <c r="E138" s="351"/>
      <c r="F138" s="351"/>
      <c r="G138" s="351"/>
      <c r="H138" s="351"/>
      <c r="I138" s="351"/>
      <c r="J138" s="351"/>
      <c r="K138" s="351"/>
      <c r="L138" s="343"/>
      <c r="M138" s="343"/>
      <c r="N138" s="343"/>
      <c r="O138" s="353"/>
      <c r="P138" s="353"/>
      <c r="Q138" s="353"/>
      <c r="R138" s="353"/>
      <c r="S138" s="353"/>
      <c r="T138" s="353"/>
      <c r="U138" s="353"/>
      <c r="V138" s="353"/>
      <c r="W138" s="353"/>
      <c r="X138" s="353"/>
      <c r="Y138" s="353"/>
      <c r="Z138" s="353"/>
      <c r="AA138" s="300"/>
      <c r="AB138" s="300"/>
      <c r="AC138" s="300"/>
      <c r="AD138" s="300"/>
      <c r="AE138" s="300"/>
      <c r="AF138" s="248"/>
    </row>
    <row r="139" spans="1:32" ht="22" customHeight="1">
      <c r="A139" s="300"/>
      <c r="B139" s="351"/>
      <c r="C139" s="351"/>
      <c r="D139" s="351"/>
      <c r="E139" s="351"/>
      <c r="F139" s="351"/>
      <c r="G139" s="351"/>
      <c r="H139" s="351"/>
      <c r="I139" s="351"/>
      <c r="J139" s="351"/>
      <c r="K139" s="351"/>
      <c r="L139" s="343"/>
      <c r="M139" s="343"/>
      <c r="N139" s="343"/>
      <c r="O139" s="282"/>
      <c r="P139" s="282"/>
      <c r="Q139" s="282"/>
      <c r="R139" s="282"/>
      <c r="S139" s="291"/>
      <c r="T139" s="291"/>
      <c r="U139" s="291"/>
      <c r="V139" s="291"/>
      <c r="W139" s="291"/>
      <c r="X139" s="291"/>
      <c r="Y139" s="291"/>
      <c r="Z139" s="291"/>
      <c r="AA139" s="300"/>
      <c r="AB139" s="300"/>
      <c r="AC139" s="300"/>
      <c r="AD139" s="291"/>
      <c r="AE139" s="291"/>
      <c r="AF139" s="248"/>
    </row>
    <row r="140" spans="1:32" ht="22" customHeight="1">
      <c r="A140" s="300"/>
      <c r="B140" s="337"/>
      <c r="C140" s="337"/>
      <c r="D140" s="337"/>
      <c r="E140" s="337"/>
      <c r="F140" s="337"/>
      <c r="G140" s="337"/>
      <c r="H140" s="337"/>
      <c r="I140" s="337"/>
      <c r="J140" s="337"/>
      <c r="K140" s="337"/>
      <c r="L140" s="343"/>
      <c r="M140" s="343"/>
      <c r="N140" s="343"/>
      <c r="O140" s="282"/>
      <c r="P140" s="282"/>
      <c r="Q140" s="282"/>
      <c r="R140" s="282"/>
      <c r="S140" s="291"/>
      <c r="T140" s="291"/>
      <c r="U140" s="291"/>
      <c r="V140" s="291"/>
      <c r="W140" s="291"/>
      <c r="X140" s="291"/>
      <c r="Y140" s="291"/>
      <c r="Z140" s="291"/>
      <c r="AA140" s="300"/>
      <c r="AB140" s="300"/>
      <c r="AC140" s="300"/>
      <c r="AD140" s="291"/>
      <c r="AE140" s="291"/>
      <c r="AF140" s="248"/>
    </row>
    <row r="141" spans="1:32" ht="22" customHeight="1">
      <c r="A141" s="300"/>
      <c r="B141" s="337"/>
      <c r="C141" s="337"/>
      <c r="D141" s="337"/>
      <c r="E141" s="337"/>
      <c r="F141" s="337"/>
      <c r="G141" s="337"/>
      <c r="H141" s="337"/>
      <c r="I141" s="337"/>
      <c r="J141" s="337"/>
      <c r="K141" s="337"/>
      <c r="L141" s="340"/>
      <c r="M141" s="340"/>
      <c r="N141" s="340"/>
      <c r="O141" s="282"/>
      <c r="P141" s="282"/>
      <c r="Q141" s="282"/>
      <c r="R141" s="282"/>
      <c r="S141" s="291"/>
      <c r="T141" s="291"/>
      <c r="U141" s="291"/>
      <c r="V141" s="291"/>
      <c r="W141" s="291"/>
      <c r="X141" s="291"/>
      <c r="Y141" s="291"/>
      <c r="Z141" s="291"/>
      <c r="AA141" s="300"/>
      <c r="AB141" s="300"/>
      <c r="AC141" s="300"/>
      <c r="AD141" s="291"/>
      <c r="AE141" s="291"/>
      <c r="AF141" s="248"/>
    </row>
    <row r="142" spans="1:32" ht="22" customHeight="1">
      <c r="A142" s="300"/>
      <c r="B142" s="282"/>
      <c r="C142" s="282"/>
      <c r="D142" s="282"/>
      <c r="E142" s="282"/>
      <c r="F142" s="282"/>
      <c r="G142" s="282"/>
      <c r="H142" s="282"/>
      <c r="I142" s="282"/>
      <c r="J142" s="282"/>
      <c r="K142" s="282"/>
      <c r="L142" s="282"/>
      <c r="M142" s="282"/>
      <c r="N142" s="282"/>
      <c r="O142" s="282"/>
      <c r="P142" s="282"/>
      <c r="Q142" s="282"/>
      <c r="R142" s="282"/>
      <c r="S142" s="291"/>
      <c r="T142" s="291"/>
      <c r="U142" s="291"/>
      <c r="V142" s="291"/>
      <c r="W142" s="291"/>
      <c r="X142" s="291"/>
      <c r="Y142" s="291"/>
      <c r="Z142" s="291"/>
      <c r="AA142" s="300"/>
      <c r="AB142" s="300"/>
      <c r="AC142" s="300"/>
      <c r="AD142" s="291"/>
      <c r="AE142" s="291"/>
      <c r="AF142" s="248"/>
    </row>
    <row r="143" spans="1:32" ht="24">
      <c r="B143" s="332"/>
      <c r="C143" s="282"/>
      <c r="D143" s="282"/>
      <c r="E143" s="282"/>
      <c r="F143" s="282"/>
      <c r="G143" s="282"/>
      <c r="H143" s="282"/>
      <c r="I143" s="282"/>
      <c r="J143" s="282"/>
      <c r="K143" s="282"/>
      <c r="L143" s="282"/>
      <c r="M143" s="282"/>
      <c r="N143" s="282"/>
    </row>
    <row r="144" spans="1:32" ht="24">
      <c r="B144" s="319"/>
      <c r="C144" s="282"/>
      <c r="D144" s="282"/>
      <c r="E144" s="282"/>
      <c r="F144" s="282"/>
      <c r="G144" s="282"/>
      <c r="H144" s="282"/>
      <c r="I144" s="282"/>
      <c r="J144" s="282"/>
      <c r="K144" s="282"/>
      <c r="L144" s="282"/>
      <c r="M144" s="282"/>
      <c r="N144" s="282"/>
    </row>
    <row r="145" spans="2:14" ht="24">
      <c r="B145" s="319"/>
      <c r="C145" s="291"/>
      <c r="D145" s="291"/>
      <c r="E145" s="291"/>
      <c r="F145" s="291"/>
      <c r="G145" s="291"/>
      <c r="H145" s="291"/>
      <c r="I145" s="291"/>
      <c r="J145" s="291"/>
      <c r="K145" s="282"/>
      <c r="L145" s="282"/>
      <c r="M145" s="282"/>
      <c r="N145" s="282"/>
    </row>
    <row r="146" spans="2:14" ht="24">
      <c r="B146" s="333"/>
      <c r="C146" s="291"/>
      <c r="D146" s="291"/>
      <c r="E146" s="291"/>
      <c r="F146" s="291"/>
      <c r="G146" s="291"/>
      <c r="H146" s="291"/>
      <c r="I146" s="291"/>
      <c r="J146" s="291"/>
      <c r="K146" s="282"/>
      <c r="L146" s="282"/>
      <c r="M146" s="282"/>
      <c r="N146" s="282"/>
    </row>
    <row r="147" spans="2:14" ht="24">
      <c r="B147" s="319"/>
      <c r="C147" s="354"/>
      <c r="D147" s="354"/>
      <c r="E147" s="354"/>
      <c r="F147" s="354"/>
      <c r="G147" s="354"/>
      <c r="H147" s="300"/>
      <c r="I147" s="300"/>
      <c r="J147" s="300"/>
      <c r="K147" s="353"/>
      <c r="L147" s="353"/>
      <c r="M147" s="353"/>
      <c r="N147" s="353"/>
    </row>
    <row r="148" spans="2:14" ht="24">
      <c r="B148" s="331"/>
      <c r="C148" s="291"/>
      <c r="D148" s="291"/>
      <c r="E148" s="291"/>
      <c r="F148" s="291"/>
      <c r="G148" s="291"/>
      <c r="H148" s="291"/>
      <c r="I148" s="291"/>
      <c r="J148" s="291"/>
      <c r="K148" s="282"/>
      <c r="L148" s="282"/>
      <c r="M148" s="282"/>
      <c r="N148" s="282"/>
    </row>
    <row r="149" spans="2:14" ht="19">
      <c r="B149" s="300"/>
      <c r="C149" s="291"/>
      <c r="D149" s="291"/>
      <c r="E149" s="291"/>
      <c r="F149" s="291"/>
      <c r="G149" s="291"/>
      <c r="H149" s="291"/>
      <c r="I149" s="291"/>
      <c r="J149" s="291"/>
      <c r="K149" s="282"/>
      <c r="L149" s="282"/>
      <c r="M149" s="282"/>
      <c r="N149" s="282"/>
    </row>
    <row r="150" spans="2:14" ht="19">
      <c r="B150" s="300"/>
      <c r="C150" s="291"/>
      <c r="D150" s="291"/>
      <c r="E150" s="291"/>
      <c r="F150" s="291"/>
      <c r="G150" s="291"/>
      <c r="H150" s="291"/>
      <c r="I150" s="291"/>
      <c r="J150" s="291"/>
      <c r="K150" s="282"/>
      <c r="L150" s="282"/>
      <c r="M150" s="282"/>
      <c r="N150" s="282"/>
    </row>
    <row r="151" spans="2:14" ht="19">
      <c r="B151" s="300"/>
      <c r="C151" s="291"/>
      <c r="D151" s="291"/>
      <c r="E151" s="291"/>
      <c r="F151" s="291"/>
      <c r="G151" s="291"/>
      <c r="H151" s="291"/>
      <c r="I151" s="291"/>
      <c r="J151" s="291"/>
      <c r="K151" s="282"/>
      <c r="L151" s="282"/>
      <c r="M151" s="282"/>
      <c r="N151" s="282"/>
    </row>
    <row r="270" spans="18:18">
      <c r="R270" s="249" t="s">
        <v>57</v>
      </c>
    </row>
    <row r="279" spans="10:10">
      <c r="J279" s="249" t="s">
        <v>57</v>
      </c>
    </row>
    <row r="332" ht="19.5" customHeight="1"/>
    <row r="350" spans="32:33">
      <c r="AF350" s="355">
        <v>0.91759999999999997</v>
      </c>
      <c r="AG350" s="355">
        <v>0.84940000000000004</v>
      </c>
    </row>
    <row r="351" spans="32:33">
      <c r="AG351" s="356">
        <v>1</v>
      </c>
    </row>
    <row r="357" spans="32:33">
      <c r="AF357" s="355">
        <v>0.91210000000000002</v>
      </c>
      <c r="AG357" s="355">
        <v>0.89339999999999997</v>
      </c>
    </row>
    <row r="358" spans="32:33">
      <c r="AG358" s="355">
        <v>0.68500000000000005</v>
      </c>
    </row>
    <row r="457" hidden="1"/>
    <row r="458" hidden="1"/>
    <row r="459" hidden="1"/>
    <row r="460" hidden="1"/>
    <row r="461" hidden="1"/>
    <row r="462" hidden="1"/>
    <row r="463" hidden="1"/>
    <row r="464" hidden="1"/>
    <row r="465" hidden="1"/>
    <row r="466" hidden="1"/>
    <row r="467" hidden="1"/>
    <row r="468" hidden="1"/>
    <row r="469" hidden="1"/>
    <row r="470" hidden="1"/>
  </sheetData>
  <mergeCells count="10">
    <mergeCell ref="A27:P27"/>
    <mergeCell ref="A29:P29"/>
    <mergeCell ref="A1:C1"/>
    <mergeCell ref="D1:P2"/>
    <mergeCell ref="A2:C2"/>
    <mergeCell ref="A3:C3"/>
    <mergeCell ref="A4:C4"/>
    <mergeCell ref="A5:C5"/>
    <mergeCell ref="L5:P6"/>
    <mergeCell ref="A6:C6"/>
  </mergeCells>
  <pageMargins left="0.7" right="0.7" top="0.75" bottom="0.75" header="0.3" footer="0.3"/>
  <pageSetup paperSize="9" scale="4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FFFF00"/>
    <pageSetUpPr fitToPage="1"/>
  </sheetPr>
  <dimension ref="A1:U350"/>
  <sheetViews>
    <sheetView view="pageBreakPreview" zoomScale="82" zoomScaleNormal="70" zoomScaleSheetLayoutView="40" workbookViewId="0">
      <pane xSplit="7" topLeftCell="H1" activePane="topRight" state="frozen"/>
      <selection activeCell="B7" sqref="B7:K7"/>
      <selection pane="topRight" activeCell="H28" sqref="H28:K28"/>
    </sheetView>
  </sheetViews>
  <sheetFormatPr baseColWidth="10" defaultColWidth="9.1640625" defaultRowHeight="13"/>
  <cols>
    <col min="1" max="1" width="10.1640625" style="358" customWidth="1"/>
    <col min="2" max="2" width="8.83203125" style="358" customWidth="1"/>
    <col min="3" max="3" width="12.1640625" style="358" customWidth="1"/>
    <col min="4" max="4" width="13.83203125" style="358" customWidth="1"/>
    <col min="5" max="5" width="8.83203125" style="358" customWidth="1"/>
    <col min="6" max="6" width="10.83203125" style="358" customWidth="1"/>
    <col min="7" max="7" width="23" style="358" customWidth="1"/>
    <col min="8" max="9" width="14.83203125" style="358" customWidth="1"/>
    <col min="10" max="10" width="12.83203125" style="358" customWidth="1"/>
    <col min="11" max="11" width="52.1640625" style="358" customWidth="1"/>
    <col min="12" max="12" width="21.6640625" style="358" customWidth="1"/>
    <col min="13" max="13" width="21.6640625" style="499" customWidth="1"/>
    <col min="14" max="14" width="15.1640625" style="358" customWidth="1"/>
    <col min="15" max="34" width="9.1640625" style="358"/>
    <col min="35" max="35" width="26.1640625" style="358" customWidth="1"/>
    <col min="36" max="16384" width="9.1640625" style="358"/>
  </cols>
  <sheetData>
    <row r="1" spans="1:21" ht="20.25" customHeight="1">
      <c r="A1" s="1046"/>
      <c r="B1" s="1047"/>
      <c r="C1" s="1047"/>
      <c r="D1" s="1074"/>
      <c r="E1" s="904" t="str">
        <f>TOC!E1</f>
        <v>PERTAMINA EP</v>
      </c>
      <c r="F1" s="905"/>
      <c r="G1" s="905"/>
      <c r="H1" s="905"/>
      <c r="I1" s="905"/>
      <c r="J1" s="905"/>
      <c r="K1" s="905"/>
      <c r="L1" s="905"/>
      <c r="M1" s="905"/>
      <c r="N1" s="906"/>
      <c r="O1" s="357"/>
    </row>
    <row r="2" spans="1:21" ht="20.25" customHeight="1">
      <c r="A2" s="1048"/>
      <c r="B2" s="1049"/>
      <c r="C2" s="1049"/>
      <c r="D2" s="1075"/>
      <c r="E2" s="907"/>
      <c r="F2" s="908"/>
      <c r="G2" s="908"/>
      <c r="H2" s="908"/>
      <c r="I2" s="908"/>
      <c r="J2" s="908"/>
      <c r="K2" s="908"/>
      <c r="L2" s="908"/>
      <c r="M2" s="908"/>
      <c r="N2" s="909"/>
      <c r="O2" s="359"/>
    </row>
    <row r="3" spans="1:21" ht="20.25" customHeight="1">
      <c r="A3" s="1050"/>
      <c r="B3" s="1051"/>
      <c r="C3" s="1051"/>
      <c r="D3" s="1076"/>
      <c r="E3" s="36" t="s">
        <v>48</v>
      </c>
      <c r="F3" s="37"/>
      <c r="G3" s="37"/>
      <c r="H3" s="45" t="s">
        <v>49</v>
      </c>
      <c r="I3" s="45"/>
      <c r="J3" s="45"/>
      <c r="K3" s="45" t="str">
        <f>'Cover Report'!Z5</f>
        <v>W2026I-DNGF-EM-100-PRG-WLY-0012</v>
      </c>
      <c r="L3" s="45"/>
      <c r="M3" s="45"/>
      <c r="N3" s="46"/>
      <c r="O3" s="359"/>
    </row>
    <row r="4" spans="1:21" s="361" customFormat="1" ht="20.25" customHeight="1">
      <c r="A4" s="1052"/>
      <c r="B4" s="1053"/>
      <c r="C4" s="1053"/>
      <c r="D4" s="1077"/>
      <c r="E4" s="40" t="str">
        <f>'Cover Report'!Z1</f>
        <v>Integrated Management Dashboard Production &amp; Project Zona 13</v>
      </c>
      <c r="F4" s="41"/>
      <c r="G4" s="41"/>
      <c r="H4" s="455"/>
      <c r="I4" s="455"/>
      <c r="J4" s="455"/>
      <c r="K4" s="455"/>
      <c r="L4" s="455"/>
      <c r="M4" s="47"/>
      <c r="N4" s="456"/>
      <c r="O4" s="360"/>
    </row>
    <row r="5" spans="1:21" ht="20.25" customHeight="1">
      <c r="A5" s="1048"/>
      <c r="B5" s="1049"/>
      <c r="C5" s="1049"/>
      <c r="D5" s="1075"/>
      <c r="E5" s="38" t="s">
        <v>50</v>
      </c>
      <c r="F5" s="45"/>
      <c r="G5" s="45"/>
      <c r="H5" s="1094"/>
      <c r="I5" s="1094"/>
      <c r="J5" s="1094"/>
      <c r="K5" s="1094"/>
      <c r="L5" s="1094"/>
      <c r="M5" s="1094"/>
      <c r="N5" s="1095"/>
      <c r="O5" s="359"/>
    </row>
    <row r="6" spans="1:21" ht="20.25" customHeight="1">
      <c r="A6" s="1054"/>
      <c r="B6" s="1055"/>
      <c r="C6" s="1055"/>
      <c r="D6" s="1078"/>
      <c r="E6" s="40" t="str">
        <f>TOC!E6</f>
        <v xml:space="preserve">Weekly Report </v>
      </c>
      <c r="F6" s="47"/>
      <c r="G6" s="47"/>
      <c r="H6" s="1096"/>
      <c r="I6" s="1096"/>
      <c r="J6" s="1096"/>
      <c r="K6" s="1096"/>
      <c r="L6" s="1096"/>
      <c r="M6" s="1096"/>
      <c r="N6" s="1097"/>
      <c r="O6" s="359"/>
    </row>
    <row r="7" spans="1:21" ht="13" customHeight="1">
      <c r="A7" s="256"/>
      <c r="B7" s="257"/>
      <c r="C7" s="257"/>
      <c r="D7" s="257"/>
      <c r="E7" s="258"/>
      <c r="F7" s="258"/>
      <c r="G7" s="258"/>
      <c r="H7" s="258"/>
      <c r="I7" s="258"/>
      <c r="J7" s="258"/>
      <c r="K7" s="1088"/>
      <c r="L7" s="1088"/>
      <c r="M7" s="1089"/>
      <c r="N7" s="1090"/>
      <c r="O7" s="359"/>
    </row>
    <row r="8" spans="1:21" ht="20.25" customHeight="1">
      <c r="A8" s="1091" t="str">
        <f>'Appendix C'!A29:P29</f>
        <v>DOCUMENT SUBMITTED IN WEEK 11</v>
      </c>
      <c r="B8" s="1092"/>
      <c r="C8" s="1092"/>
      <c r="D8" s="1092"/>
      <c r="E8" s="1092"/>
      <c r="F8" s="1092"/>
      <c r="G8" s="1092"/>
      <c r="H8" s="1092"/>
      <c r="I8" s="1092"/>
      <c r="J8" s="1092"/>
      <c r="K8" s="1092"/>
      <c r="L8" s="1092"/>
      <c r="M8" s="1092"/>
      <c r="N8" s="1093"/>
      <c r="O8" s="357"/>
    </row>
    <row r="9" spans="1:21" ht="19.5" customHeight="1">
      <c r="A9" s="362"/>
      <c r="B9" s="265"/>
      <c r="C9" s="363"/>
      <c r="D9" s="364"/>
      <c r="E9" s="265"/>
      <c r="F9" s="265"/>
      <c r="G9" s="265"/>
      <c r="H9" s="406"/>
      <c r="I9" s="406"/>
      <c r="J9" s="407"/>
      <c r="K9" s="406"/>
      <c r="L9" s="406"/>
      <c r="M9" s="406"/>
      <c r="N9" s="408"/>
      <c r="O9" s="357"/>
      <c r="U9" s="365"/>
    </row>
    <row r="10" spans="1:21" ht="28.5" customHeight="1">
      <c r="A10" s="1064" t="s">
        <v>58</v>
      </c>
      <c r="B10" s="1082" t="s">
        <v>70</v>
      </c>
      <c r="C10" s="1082"/>
      <c r="D10" s="1083"/>
      <c r="E10" s="1086" t="s">
        <v>67</v>
      </c>
      <c r="F10" s="1082"/>
      <c r="G10" s="1083"/>
      <c r="H10" s="1086" t="s">
        <v>68</v>
      </c>
      <c r="I10" s="1082"/>
      <c r="J10" s="1082"/>
      <c r="K10" s="1083"/>
      <c r="L10" s="1072" t="s">
        <v>107</v>
      </c>
      <c r="M10" s="1070" t="s">
        <v>108</v>
      </c>
      <c r="N10" s="1062" t="s">
        <v>33</v>
      </c>
      <c r="O10" s="357"/>
    </row>
    <row r="11" spans="1:21" ht="15" thickBot="1">
      <c r="A11" s="1065"/>
      <c r="B11" s="1084"/>
      <c r="C11" s="1084"/>
      <c r="D11" s="1085"/>
      <c r="E11" s="1087"/>
      <c r="F11" s="1084"/>
      <c r="G11" s="1085"/>
      <c r="H11" s="1087"/>
      <c r="I11" s="1084"/>
      <c r="J11" s="1084"/>
      <c r="K11" s="1085"/>
      <c r="L11" s="1073"/>
      <c r="M11" s="1071"/>
      <c r="N11" s="1063"/>
      <c r="O11" s="357"/>
    </row>
    <row r="12" spans="1:21" s="431" customFormat="1" ht="22.5" hidden="1" customHeight="1" thickTop="1">
      <c r="A12" s="437">
        <v>1</v>
      </c>
      <c r="B12" s="438" t="s">
        <v>131</v>
      </c>
      <c r="C12" s="439"/>
      <c r="D12" s="439"/>
      <c r="E12" s="440" t="s">
        <v>122</v>
      </c>
      <c r="F12" s="439"/>
      <c r="G12" s="439"/>
      <c r="H12" s="1079" t="s">
        <v>113</v>
      </c>
      <c r="I12" s="1080"/>
      <c r="J12" s="1080"/>
      <c r="K12" s="1081"/>
      <c r="L12" s="442">
        <v>44463</v>
      </c>
      <c r="M12" s="441" t="s">
        <v>40</v>
      </c>
      <c r="N12" s="443"/>
      <c r="O12" s="430"/>
    </row>
    <row r="13" spans="1:21" s="431" customFormat="1" ht="22.5" hidden="1" customHeight="1">
      <c r="A13" s="437">
        <v>2</v>
      </c>
      <c r="B13" s="438" t="s">
        <v>129</v>
      </c>
      <c r="C13" s="444"/>
      <c r="D13" s="445"/>
      <c r="E13" s="446" t="s">
        <v>120</v>
      </c>
      <c r="F13" s="371"/>
      <c r="G13" s="447"/>
      <c r="H13" s="438" t="s">
        <v>130</v>
      </c>
      <c r="I13" s="448"/>
      <c r="J13" s="448"/>
      <c r="K13" s="448"/>
      <c r="L13" s="449">
        <v>44463</v>
      </c>
      <c r="M13" s="450" t="s">
        <v>40</v>
      </c>
      <c r="N13" s="451"/>
      <c r="O13" s="430"/>
    </row>
    <row r="14" spans="1:21" s="431" customFormat="1" ht="22.5" hidden="1" customHeight="1" thickTop="1">
      <c r="A14" s="437">
        <v>1</v>
      </c>
      <c r="B14" s="438" t="s">
        <v>132</v>
      </c>
      <c r="C14" s="439"/>
      <c r="D14" s="439"/>
      <c r="E14" s="446" t="s">
        <v>126</v>
      </c>
      <c r="F14" s="448"/>
      <c r="G14" s="441"/>
      <c r="H14" s="438" t="s">
        <v>117</v>
      </c>
      <c r="I14" s="448"/>
      <c r="J14" s="448"/>
      <c r="K14" s="448"/>
      <c r="L14" s="449">
        <v>44470</v>
      </c>
      <c r="M14" s="450" t="s">
        <v>40</v>
      </c>
      <c r="N14" s="451"/>
      <c r="O14" s="430"/>
    </row>
    <row r="15" spans="1:21" s="431" customFormat="1" ht="22.5" hidden="1" customHeight="1">
      <c r="A15" s="437"/>
      <c r="B15" s="438"/>
      <c r="C15" s="444"/>
      <c r="D15" s="445"/>
      <c r="E15" s="438"/>
      <c r="F15" s="448"/>
      <c r="G15" s="452"/>
      <c r="H15" s="453" t="s">
        <v>133</v>
      </c>
      <c r="I15" s="448"/>
      <c r="J15" s="448"/>
      <c r="K15" s="448"/>
      <c r="L15" s="449"/>
      <c r="M15" s="450"/>
      <c r="N15" s="451"/>
      <c r="O15" s="430"/>
    </row>
    <row r="16" spans="1:21" s="431" customFormat="1" ht="22.5" hidden="1" customHeight="1">
      <c r="A16" s="437"/>
      <c r="B16" s="438"/>
      <c r="C16" s="444"/>
      <c r="D16" s="445"/>
      <c r="E16" s="438"/>
      <c r="F16" s="448"/>
      <c r="G16" s="452"/>
      <c r="H16" s="453" t="s">
        <v>134</v>
      </c>
      <c r="I16" s="448"/>
      <c r="J16" s="448"/>
      <c r="K16" s="448"/>
      <c r="L16" s="449"/>
      <c r="M16" s="450"/>
      <c r="N16" s="451"/>
      <c r="O16" s="430"/>
    </row>
    <row r="17" spans="1:15" s="431" customFormat="1" ht="22.5" hidden="1" customHeight="1">
      <c r="A17" s="437"/>
      <c r="B17" s="438"/>
      <c r="C17" s="444"/>
      <c r="D17" s="445"/>
      <c r="E17" s="438"/>
      <c r="F17" s="448"/>
      <c r="G17" s="452"/>
      <c r="H17" s="453" t="s">
        <v>135</v>
      </c>
      <c r="I17" s="448"/>
      <c r="J17" s="448"/>
      <c r="K17" s="448"/>
      <c r="L17" s="449"/>
      <c r="M17" s="450"/>
      <c r="N17" s="451"/>
      <c r="O17" s="430"/>
    </row>
    <row r="18" spans="1:15" s="431" customFormat="1" ht="22.5" hidden="1" customHeight="1">
      <c r="A18" s="437"/>
      <c r="B18" s="438"/>
      <c r="C18" s="444"/>
      <c r="D18" s="445"/>
      <c r="E18" s="438"/>
      <c r="F18" s="448"/>
      <c r="G18" s="452"/>
      <c r="H18" s="453"/>
      <c r="I18" s="448"/>
      <c r="J18" s="448"/>
      <c r="K18" s="448"/>
      <c r="L18" s="449"/>
      <c r="M18" s="450"/>
      <c r="N18" s="451"/>
      <c r="O18" s="430"/>
    </row>
    <row r="19" spans="1:15" s="431" customFormat="1" ht="22.5" hidden="1" customHeight="1">
      <c r="A19" s="437">
        <v>2</v>
      </c>
      <c r="B19" s="438" t="s">
        <v>132</v>
      </c>
      <c r="C19" s="444"/>
      <c r="D19" s="445"/>
      <c r="E19" s="438" t="s">
        <v>127</v>
      </c>
      <c r="F19" s="448"/>
      <c r="G19" s="452"/>
      <c r="H19" s="453" t="s">
        <v>118</v>
      </c>
      <c r="I19" s="448"/>
      <c r="J19" s="448"/>
      <c r="K19" s="448"/>
      <c r="L19" s="449">
        <v>44470</v>
      </c>
      <c r="M19" s="450" t="s">
        <v>40</v>
      </c>
      <c r="N19" s="451"/>
      <c r="O19" s="430"/>
    </row>
    <row r="20" spans="1:15" s="431" customFormat="1" ht="22.5" hidden="1" customHeight="1">
      <c r="A20" s="437"/>
      <c r="B20" s="438"/>
      <c r="C20" s="444"/>
      <c r="D20" s="445"/>
      <c r="E20" s="438"/>
      <c r="F20" s="448"/>
      <c r="G20" s="452"/>
      <c r="H20" s="453" t="s">
        <v>136</v>
      </c>
      <c r="I20" s="448"/>
      <c r="J20" s="448"/>
      <c r="K20" s="448"/>
      <c r="L20" s="449"/>
      <c r="M20" s="450"/>
      <c r="N20" s="451"/>
      <c r="O20" s="430"/>
    </row>
    <row r="21" spans="1:15" s="431" customFormat="1" ht="22.5" hidden="1" customHeight="1">
      <c r="A21" s="437"/>
      <c r="B21" s="438"/>
      <c r="C21" s="444"/>
      <c r="D21" s="445"/>
      <c r="E21" s="438"/>
      <c r="F21" s="448"/>
      <c r="G21" s="452"/>
      <c r="H21" s="453" t="s">
        <v>137</v>
      </c>
      <c r="I21" s="448"/>
      <c r="J21" s="448"/>
      <c r="K21" s="448"/>
      <c r="L21" s="449"/>
      <c r="M21" s="450"/>
      <c r="N21" s="451"/>
      <c r="O21" s="430"/>
    </row>
    <row r="22" spans="1:15" s="431" customFormat="1" ht="22.5" hidden="1" customHeight="1" thickTop="1">
      <c r="A22" s="437">
        <v>1</v>
      </c>
      <c r="B22" s="438" t="s">
        <v>138</v>
      </c>
      <c r="C22" s="444"/>
      <c r="D22" s="445"/>
      <c r="E22" s="438" t="s">
        <v>124</v>
      </c>
      <c r="F22" s="448"/>
      <c r="G22" s="452"/>
      <c r="H22" s="453" t="s">
        <v>115</v>
      </c>
      <c r="I22" s="448"/>
      <c r="J22" s="448"/>
      <c r="K22" s="448"/>
      <c r="L22" s="449">
        <v>44475</v>
      </c>
      <c r="M22" s="450" t="s">
        <v>40</v>
      </c>
      <c r="N22" s="451"/>
      <c r="O22" s="430"/>
    </row>
    <row r="23" spans="1:15" s="431" customFormat="1" ht="22.5" hidden="1" customHeight="1">
      <c r="A23" s="437">
        <v>2</v>
      </c>
      <c r="B23" s="438" t="s">
        <v>139</v>
      </c>
      <c r="C23" s="444"/>
      <c r="D23" s="445"/>
      <c r="E23" s="438" t="s">
        <v>123</v>
      </c>
      <c r="F23" s="448"/>
      <c r="G23" s="452"/>
      <c r="H23" s="453" t="s">
        <v>140</v>
      </c>
      <c r="I23" s="448"/>
      <c r="J23" s="448"/>
      <c r="K23" s="448"/>
      <c r="L23" s="449">
        <v>44477</v>
      </c>
      <c r="M23" s="450" t="s">
        <v>40</v>
      </c>
      <c r="N23" s="451"/>
      <c r="O23" s="430"/>
    </row>
    <row r="24" spans="1:15" s="431" customFormat="1" ht="22.5" hidden="1" customHeight="1" thickTop="1">
      <c r="A24" s="437">
        <v>1</v>
      </c>
      <c r="B24" s="438" t="s">
        <v>141</v>
      </c>
      <c r="C24" s="444"/>
      <c r="D24" s="445"/>
      <c r="E24" s="438" t="s">
        <v>121</v>
      </c>
      <c r="F24" s="448"/>
      <c r="G24" s="452"/>
      <c r="H24" s="453" t="s">
        <v>112</v>
      </c>
      <c r="I24" s="448"/>
      <c r="J24" s="448"/>
      <c r="K24" s="448"/>
      <c r="L24" s="449">
        <v>44480</v>
      </c>
      <c r="M24" s="450" t="s">
        <v>40</v>
      </c>
      <c r="N24" s="451"/>
      <c r="O24" s="430"/>
    </row>
    <row r="25" spans="1:15" s="431" customFormat="1" ht="22.5" hidden="1" customHeight="1">
      <c r="A25" s="437">
        <v>2</v>
      </c>
      <c r="B25" s="438" t="s">
        <v>141</v>
      </c>
      <c r="C25" s="444"/>
      <c r="D25" s="445"/>
      <c r="E25" s="438" t="s">
        <v>125</v>
      </c>
      <c r="F25" s="448"/>
      <c r="G25" s="452"/>
      <c r="H25" s="453" t="s">
        <v>119</v>
      </c>
      <c r="I25" s="448"/>
      <c r="J25" s="448"/>
      <c r="K25" s="448"/>
      <c r="L25" s="449">
        <v>44480</v>
      </c>
      <c r="M25" s="450" t="s">
        <v>40</v>
      </c>
      <c r="N25" s="451"/>
      <c r="O25" s="430"/>
    </row>
    <row r="26" spans="1:15" s="431" customFormat="1" ht="22.5" hidden="1" customHeight="1">
      <c r="A26" s="437">
        <v>3</v>
      </c>
      <c r="B26" s="438" t="s">
        <v>142</v>
      </c>
      <c r="C26" s="444"/>
      <c r="D26" s="445"/>
      <c r="E26" s="438" t="s">
        <v>128</v>
      </c>
      <c r="F26" s="448"/>
      <c r="G26" s="452"/>
      <c r="H26" s="453" t="s">
        <v>143</v>
      </c>
      <c r="I26" s="448"/>
      <c r="J26" s="448"/>
      <c r="K26" s="448"/>
      <c r="L26" s="449">
        <v>44482</v>
      </c>
      <c r="M26" s="450" t="s">
        <v>40</v>
      </c>
      <c r="N26" s="451"/>
      <c r="O26" s="430"/>
    </row>
    <row r="27" spans="1:15" s="431" customFormat="1" ht="22.5" customHeight="1" thickTop="1">
      <c r="A27" s="437">
        <v>1</v>
      </c>
      <c r="B27" s="497" t="s">
        <v>290</v>
      </c>
      <c r="C27" s="444"/>
      <c r="D27" s="445"/>
      <c r="E27" s="1056" t="s">
        <v>291</v>
      </c>
      <c r="F27" s="1057"/>
      <c r="G27" s="1058"/>
      <c r="H27" s="1059" t="s">
        <v>247</v>
      </c>
      <c r="I27" s="1060"/>
      <c r="J27" s="1060"/>
      <c r="K27" s="1061"/>
      <c r="L27" s="461">
        <v>46205</v>
      </c>
      <c r="M27" s="498" t="s">
        <v>40</v>
      </c>
      <c r="N27" s="451"/>
      <c r="O27" s="430"/>
    </row>
    <row r="28" spans="1:15" s="431" customFormat="1" ht="18.75" customHeight="1">
      <c r="A28" s="437"/>
      <c r="B28" s="497"/>
      <c r="C28" s="371"/>
      <c r="D28" s="447"/>
      <c r="E28" s="1059"/>
      <c r="F28" s="1060"/>
      <c r="G28" s="1060"/>
      <c r="H28" s="1059"/>
      <c r="I28" s="1060"/>
      <c r="J28" s="1060"/>
      <c r="K28" s="1061"/>
      <c r="L28" s="473"/>
      <c r="M28" s="498"/>
      <c r="N28" s="451"/>
      <c r="O28" s="430"/>
    </row>
    <row r="29" spans="1:15" s="431" customFormat="1" ht="22.5" customHeight="1">
      <c r="A29" s="437"/>
      <c r="B29" s="497"/>
      <c r="C29" s="370"/>
      <c r="D29" s="472"/>
      <c r="E29" s="1101"/>
      <c r="F29" s="1060"/>
      <c r="G29" s="1060"/>
      <c r="H29" s="1098"/>
      <c r="I29" s="1099"/>
      <c r="J29" s="1099"/>
      <c r="K29" s="1100"/>
      <c r="L29" s="473"/>
      <c r="M29" s="498"/>
      <c r="N29" s="451"/>
      <c r="O29" s="430"/>
    </row>
    <row r="30" spans="1:15" s="431" customFormat="1" ht="22.5" customHeight="1">
      <c r="A30" s="437"/>
      <c r="B30" s="497"/>
      <c r="C30" s="370"/>
      <c r="D30" s="472"/>
      <c r="E30" s="1059"/>
      <c r="F30" s="1060"/>
      <c r="G30" s="1060"/>
      <c r="H30" s="1098"/>
      <c r="I30" s="1099"/>
      <c r="J30" s="1099"/>
      <c r="K30" s="1100"/>
      <c r="L30" s="473"/>
      <c r="M30" s="498"/>
      <c r="N30" s="451"/>
      <c r="O30" s="430"/>
    </row>
    <row r="31" spans="1:15" s="431" customFormat="1" ht="22.5" customHeight="1">
      <c r="A31" s="437"/>
      <c r="B31" s="471"/>
      <c r="C31" s="371"/>
      <c r="D31" s="371"/>
      <c r="E31" s="1066"/>
      <c r="F31" s="1057"/>
      <c r="G31" s="1057"/>
      <c r="H31" s="1059"/>
      <c r="I31" s="1060"/>
      <c r="J31" s="1060"/>
      <c r="K31" s="1061"/>
      <c r="L31" s="473"/>
      <c r="M31" s="498"/>
      <c r="N31" s="451"/>
      <c r="O31" s="430"/>
    </row>
    <row r="32" spans="1:15" s="431" customFormat="1" ht="22.5" customHeight="1">
      <c r="A32" s="437"/>
      <c r="B32" s="471"/>
      <c r="C32" s="371"/>
      <c r="D32" s="371"/>
      <c r="E32" s="1066"/>
      <c r="F32" s="1057"/>
      <c r="G32" s="1057"/>
      <c r="H32" s="1059"/>
      <c r="I32" s="1060"/>
      <c r="J32" s="1060"/>
      <c r="K32" s="1061"/>
      <c r="L32" s="473"/>
      <c r="M32" s="498"/>
      <c r="N32" s="451"/>
      <c r="O32" s="430"/>
    </row>
    <row r="33" spans="1:15" s="431" customFormat="1" ht="22.5" customHeight="1">
      <c r="A33" s="437"/>
      <c r="B33" s="471"/>
      <c r="C33" s="371"/>
      <c r="D33" s="371"/>
      <c r="E33" s="1066"/>
      <c r="F33" s="1057"/>
      <c r="G33" s="1057"/>
      <c r="H33" s="1059"/>
      <c r="I33" s="1060"/>
      <c r="J33" s="1060"/>
      <c r="K33" s="1061"/>
      <c r="L33" s="473"/>
      <c r="M33" s="498"/>
      <c r="N33" s="451"/>
      <c r="O33" s="430"/>
    </row>
    <row r="34" spans="1:15" s="431" customFormat="1" ht="22.5" customHeight="1">
      <c r="A34" s="437"/>
      <c r="B34" s="471"/>
      <c r="C34" s="371"/>
      <c r="D34" s="371"/>
      <c r="E34" s="1066"/>
      <c r="F34" s="1057"/>
      <c r="G34" s="1057"/>
      <c r="H34" s="1059"/>
      <c r="I34" s="1060"/>
      <c r="J34" s="1060"/>
      <c r="K34" s="1061"/>
      <c r="L34" s="473"/>
      <c r="M34" s="498"/>
      <c r="N34" s="451"/>
      <c r="O34" s="430"/>
    </row>
    <row r="35" spans="1:15" s="431" customFormat="1" ht="22.5" customHeight="1">
      <c r="A35" s="437"/>
      <c r="B35" s="471"/>
      <c r="C35" s="371"/>
      <c r="D35" s="371"/>
      <c r="E35" s="1066"/>
      <c r="F35" s="1057"/>
      <c r="G35" s="1057"/>
      <c r="H35" s="1059"/>
      <c r="I35" s="1060"/>
      <c r="J35" s="1060"/>
      <c r="K35" s="1061"/>
      <c r="L35" s="473"/>
      <c r="M35" s="498"/>
      <c r="N35" s="451"/>
      <c r="O35" s="430"/>
    </row>
    <row r="36" spans="1:15" s="431" customFormat="1" ht="22.5" customHeight="1">
      <c r="A36" s="437"/>
      <c r="B36" s="471"/>
      <c r="C36" s="371"/>
      <c r="D36" s="371"/>
      <c r="E36" s="1066"/>
      <c r="F36" s="1057"/>
      <c r="G36" s="1057"/>
      <c r="H36" s="1059"/>
      <c r="I36" s="1060"/>
      <c r="J36" s="1060"/>
      <c r="K36" s="1061"/>
      <c r="L36" s="473"/>
      <c r="M36" s="498"/>
      <c r="N36" s="451"/>
      <c r="O36" s="430"/>
    </row>
    <row r="37" spans="1:15" s="431" customFormat="1" ht="22.5" customHeight="1">
      <c r="A37" s="437"/>
      <c r="B37" s="471"/>
      <c r="C37" s="371"/>
      <c r="D37" s="371"/>
      <c r="E37" s="1066"/>
      <c r="F37" s="1057"/>
      <c r="G37" s="1058"/>
      <c r="H37" s="1059"/>
      <c r="I37" s="1060"/>
      <c r="J37" s="1060"/>
      <c r="K37" s="1061"/>
      <c r="L37" s="473"/>
      <c r="M37" s="498"/>
      <c r="N37" s="451"/>
      <c r="O37" s="430"/>
    </row>
    <row r="38" spans="1:15" s="431" customFormat="1" ht="24.75" customHeight="1">
      <c r="A38" s="437"/>
      <c r="B38" s="471"/>
      <c r="C38" s="370"/>
      <c r="D38" s="370"/>
      <c r="E38" s="1066"/>
      <c r="F38" s="1057"/>
      <c r="G38" s="1058"/>
      <c r="H38" s="1098"/>
      <c r="I38" s="1099"/>
      <c r="J38" s="1099"/>
      <c r="K38" s="1100"/>
      <c r="L38" s="473"/>
      <c r="M38" s="498"/>
      <c r="N38" s="451"/>
      <c r="O38" s="430"/>
    </row>
    <row r="39" spans="1:15" s="431" customFormat="1" ht="22.5" customHeight="1">
      <c r="A39" s="437"/>
      <c r="B39" s="1059"/>
      <c r="C39" s="1060"/>
      <c r="D39" s="1061"/>
      <c r="E39" s="1067"/>
      <c r="F39" s="1068"/>
      <c r="G39" s="1069"/>
      <c r="H39" s="1059"/>
      <c r="I39" s="1060"/>
      <c r="J39" s="1060"/>
      <c r="K39" s="1061"/>
      <c r="L39" s="449"/>
      <c r="M39" s="498"/>
      <c r="N39" s="451"/>
      <c r="O39" s="430"/>
    </row>
    <row r="40" spans="1:15" s="431" customFormat="1" ht="22.5" customHeight="1">
      <c r="A40" s="437"/>
      <c r="B40" s="1059"/>
      <c r="C40" s="1060"/>
      <c r="D40" s="1061"/>
      <c r="E40" s="1067"/>
      <c r="F40" s="1068"/>
      <c r="G40" s="1069"/>
      <c r="H40" s="1059"/>
      <c r="I40" s="1060"/>
      <c r="J40" s="1060"/>
      <c r="K40" s="1061"/>
      <c r="L40" s="449"/>
      <c r="M40" s="498"/>
      <c r="N40" s="451"/>
      <c r="O40" s="430"/>
    </row>
    <row r="41" spans="1:15" s="431" customFormat="1" ht="22.5" customHeight="1">
      <c r="A41" s="437"/>
      <c r="B41" s="471"/>
      <c r="C41" s="371"/>
      <c r="D41" s="447"/>
      <c r="E41" s="1066"/>
      <c r="F41" s="1057"/>
      <c r="G41" s="1057"/>
      <c r="H41" s="471"/>
      <c r="I41" s="448"/>
      <c r="J41" s="448"/>
      <c r="K41" s="448"/>
      <c r="L41" s="449"/>
      <c r="M41" s="498"/>
      <c r="N41" s="451"/>
      <c r="O41" s="430"/>
    </row>
    <row r="42" spans="1:15" s="431" customFormat="1" ht="22.5" customHeight="1">
      <c r="A42" s="437"/>
      <c r="B42" s="471"/>
      <c r="C42" s="371"/>
      <c r="D42" s="447"/>
      <c r="E42" s="1066"/>
      <c r="F42" s="1057"/>
      <c r="G42" s="1057"/>
      <c r="H42" s="471"/>
      <c r="I42" s="448"/>
      <c r="J42" s="448"/>
      <c r="K42" s="448"/>
      <c r="L42" s="449"/>
      <c r="M42" s="498"/>
      <c r="N42" s="451"/>
      <c r="O42" s="430"/>
    </row>
    <row r="43" spans="1:15" s="431" customFormat="1" ht="22.5" customHeight="1">
      <c r="A43" s="437"/>
      <c r="B43" s="471"/>
      <c r="C43" s="371"/>
      <c r="D43" s="447"/>
      <c r="E43" s="438"/>
      <c r="F43" s="448"/>
      <c r="G43" s="452"/>
      <c r="H43" s="453"/>
      <c r="I43" s="448"/>
      <c r="J43" s="448"/>
      <c r="K43" s="448"/>
      <c r="L43" s="449"/>
      <c r="M43" s="498"/>
      <c r="N43" s="451"/>
      <c r="O43" s="430"/>
    </row>
    <row r="44" spans="1:15" s="431" customFormat="1" ht="22.5" customHeight="1">
      <c r="A44" s="437"/>
      <c r="B44" s="471"/>
      <c r="C44" s="371"/>
      <c r="D44" s="447"/>
      <c r="E44" s="438"/>
      <c r="F44" s="448"/>
      <c r="G44" s="452"/>
      <c r="H44" s="453"/>
      <c r="I44" s="448"/>
      <c r="J44" s="448"/>
      <c r="K44" s="448"/>
      <c r="L44" s="449"/>
      <c r="M44" s="498"/>
      <c r="N44" s="451"/>
      <c r="O44" s="430"/>
    </row>
    <row r="45" spans="1:15" s="431" customFormat="1" ht="22.5" customHeight="1">
      <c r="A45" s="437"/>
      <c r="B45" s="471"/>
      <c r="C45" s="371"/>
      <c r="D45" s="447"/>
      <c r="E45" s="438"/>
      <c r="F45" s="448"/>
      <c r="G45" s="452"/>
      <c r="H45" s="453"/>
      <c r="I45" s="448"/>
      <c r="J45" s="448"/>
      <c r="K45" s="448"/>
      <c r="L45" s="449"/>
      <c r="M45" s="498"/>
      <c r="N45" s="451"/>
      <c r="O45" s="430"/>
    </row>
    <row r="46" spans="1:15" s="431" customFormat="1" ht="22.5" customHeight="1">
      <c r="A46" s="437"/>
      <c r="B46" s="471"/>
      <c r="C46" s="371"/>
      <c r="D46" s="447"/>
      <c r="E46" s="438"/>
      <c r="F46" s="448"/>
      <c r="G46" s="452"/>
      <c r="H46" s="453"/>
      <c r="I46" s="448"/>
      <c r="J46" s="448"/>
      <c r="K46" s="448"/>
      <c r="L46" s="449"/>
      <c r="M46" s="498"/>
      <c r="N46" s="451"/>
      <c r="O46" s="430"/>
    </row>
    <row r="47" spans="1:15" s="431" customFormat="1" ht="22.5" customHeight="1">
      <c r="A47" s="437"/>
      <c r="B47" s="471"/>
      <c r="C47" s="371"/>
      <c r="D47" s="447"/>
      <c r="E47" s="438"/>
      <c r="F47" s="448"/>
      <c r="G47" s="452"/>
      <c r="H47" s="453"/>
      <c r="I47" s="448"/>
      <c r="J47" s="448"/>
      <c r="K47" s="448"/>
      <c r="L47" s="449"/>
      <c r="M47" s="498"/>
      <c r="N47" s="451"/>
      <c r="O47" s="430"/>
    </row>
    <row r="48" spans="1:15" s="431" customFormat="1" ht="22.5" customHeight="1">
      <c r="A48" s="437"/>
      <c r="B48" s="471"/>
      <c r="C48" s="371"/>
      <c r="D48" s="447"/>
      <c r="E48" s="497"/>
      <c r="F48" s="444"/>
      <c r="G48" s="445"/>
      <c r="H48" s="471"/>
      <c r="I48" s="371"/>
      <c r="J48" s="371"/>
      <c r="K48" s="447"/>
      <c r="L48" s="449"/>
      <c r="M48" s="498"/>
      <c r="N48" s="451"/>
      <c r="O48" s="430"/>
    </row>
    <row r="49" spans="1:15" s="431" customFormat="1" ht="22.5" customHeight="1">
      <c r="A49" s="437"/>
      <c r="B49" s="471"/>
      <c r="C49" s="371"/>
      <c r="D49" s="447"/>
      <c r="E49" s="497"/>
      <c r="F49" s="444"/>
      <c r="G49" s="445"/>
      <c r="H49" s="471"/>
      <c r="I49" s="371"/>
      <c r="J49" s="371"/>
      <c r="K49" s="447"/>
      <c r="L49" s="449"/>
      <c r="M49" s="498"/>
      <c r="N49" s="451"/>
      <c r="O49" s="430"/>
    </row>
    <row r="50" spans="1:15" s="431" customFormat="1" ht="22.5" customHeight="1">
      <c r="A50" s="505"/>
      <c r="B50" s="506"/>
      <c r="C50" s="507"/>
      <c r="D50" s="508"/>
      <c r="E50" s="509"/>
      <c r="F50" s="510"/>
      <c r="G50" s="511"/>
      <c r="H50" s="506"/>
      <c r="I50" s="507"/>
      <c r="J50" s="507"/>
      <c r="K50" s="508"/>
      <c r="L50" s="512"/>
      <c r="M50" s="513"/>
      <c r="N50" s="514"/>
      <c r="O50" s="430"/>
    </row>
    <row r="51" spans="1:15" ht="22.5" customHeight="1"/>
    <row r="96" ht="18" customHeight="1"/>
    <row r="150" spans="7:7">
      <c r="G150" s="358" t="s">
        <v>57</v>
      </c>
    </row>
    <row r="212" ht="19.5" customHeight="1"/>
    <row r="230" spans="15:16">
      <c r="O230" s="366">
        <v>0.91759999999999997</v>
      </c>
      <c r="P230" s="366">
        <v>0.84940000000000004</v>
      </c>
    </row>
    <row r="231" spans="15:16">
      <c r="P231" s="367">
        <v>1</v>
      </c>
    </row>
    <row r="237" spans="15:16">
      <c r="O237" s="366">
        <v>0.91210000000000002</v>
      </c>
      <c r="P237" s="366">
        <v>0.89339999999999997</v>
      </c>
    </row>
    <row r="238" spans="15:16">
      <c r="P238" s="366">
        <v>0.68500000000000005</v>
      </c>
    </row>
    <row r="337" spans="13:13" hidden="1">
      <c r="M337" s="358"/>
    </row>
    <row r="338" spans="13:13" hidden="1">
      <c r="M338" s="358"/>
    </row>
    <row r="339" spans="13:13" hidden="1">
      <c r="M339" s="358"/>
    </row>
    <row r="340" spans="13:13" hidden="1">
      <c r="M340" s="358"/>
    </row>
    <row r="341" spans="13:13" hidden="1">
      <c r="M341" s="358"/>
    </row>
    <row r="342" spans="13:13" hidden="1">
      <c r="M342" s="358"/>
    </row>
    <row r="343" spans="13:13" hidden="1">
      <c r="M343" s="358"/>
    </row>
    <row r="344" spans="13:13" hidden="1">
      <c r="M344" s="358"/>
    </row>
    <row r="345" spans="13:13" hidden="1">
      <c r="M345" s="358"/>
    </row>
    <row r="346" spans="13:13" hidden="1">
      <c r="M346" s="358"/>
    </row>
    <row r="347" spans="13:13" hidden="1">
      <c r="M347" s="358"/>
    </row>
    <row r="348" spans="13:13" hidden="1">
      <c r="M348" s="358"/>
    </row>
    <row r="349" spans="13:13" hidden="1">
      <c r="M349" s="358"/>
    </row>
    <row r="350" spans="13:13" hidden="1">
      <c r="M350" s="358"/>
    </row>
  </sheetData>
  <autoFilter ref="A10:N50" xr:uid="{00000000-0009-0000-0000-00000F000000}">
    <filterColumn colId="1" showButton="0"/>
    <filterColumn colId="2" showButton="0"/>
    <filterColumn colId="4" showButton="0">
      <filters>
        <filter val="CP - W - CAL - 3108"/>
        <filter val="CP - W - CAL - 3109"/>
        <filter val="CP – W – CAL - 3109"/>
      </filters>
    </filterColumn>
    <filterColumn colId="5" showButton="0"/>
    <filterColumn colId="7" showButton="0"/>
    <filterColumn colId="8" showButton="0"/>
    <filterColumn colId="9" showButton="0"/>
  </autoFilter>
  <mergeCells count="50">
    <mergeCell ref="H38:K38"/>
    <mergeCell ref="H37:K37"/>
    <mergeCell ref="H36:K36"/>
    <mergeCell ref="H35:K35"/>
    <mergeCell ref="E30:G30"/>
    <mergeCell ref="H34:K34"/>
    <mergeCell ref="H33:K33"/>
    <mergeCell ref="H32:K32"/>
    <mergeCell ref="H31:K31"/>
    <mergeCell ref="H30:K30"/>
    <mergeCell ref="E36:G36"/>
    <mergeCell ref="H29:K29"/>
    <mergeCell ref="H28:K28"/>
    <mergeCell ref="E29:G29"/>
    <mergeCell ref="E28:G28"/>
    <mergeCell ref="E35:G35"/>
    <mergeCell ref="E34:G34"/>
    <mergeCell ref="E33:G33"/>
    <mergeCell ref="E32:G32"/>
    <mergeCell ref="E31:G31"/>
    <mergeCell ref="A6:D6"/>
    <mergeCell ref="H12:K12"/>
    <mergeCell ref="B10:D11"/>
    <mergeCell ref="E10:G11"/>
    <mergeCell ref="H10:K11"/>
    <mergeCell ref="K7:N7"/>
    <mergeCell ref="A8:N8"/>
    <mergeCell ref="H5:N6"/>
    <mergeCell ref="A5:D5"/>
    <mergeCell ref="A1:D1"/>
    <mergeCell ref="E1:N2"/>
    <mergeCell ref="A2:D2"/>
    <mergeCell ref="A3:D3"/>
    <mergeCell ref="A4:D4"/>
    <mergeCell ref="E27:G27"/>
    <mergeCell ref="H27:K27"/>
    <mergeCell ref="N10:N11"/>
    <mergeCell ref="A10:A11"/>
    <mergeCell ref="E42:G42"/>
    <mergeCell ref="E41:G41"/>
    <mergeCell ref="H39:K39"/>
    <mergeCell ref="E39:G39"/>
    <mergeCell ref="B39:D39"/>
    <mergeCell ref="H40:K40"/>
    <mergeCell ref="B40:D40"/>
    <mergeCell ref="E40:G40"/>
    <mergeCell ref="M10:M11"/>
    <mergeCell ref="L10:L11"/>
    <mergeCell ref="E38:G38"/>
    <mergeCell ref="E37:G37"/>
  </mergeCells>
  <pageMargins left="0.7" right="0.7" top="0.75" bottom="0.75" header="0.3" footer="0.3"/>
  <pageSetup paperSize="9" scale="34"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91CE5-F8EB-D34C-A687-50AE68FB6AD7}">
  <sheetPr>
    <tabColor rgb="FFFFFF00"/>
  </sheetPr>
  <dimension ref="A1:P67"/>
  <sheetViews>
    <sheetView topLeftCell="A6" workbookViewId="0">
      <selection activeCell="A30" sqref="A30"/>
    </sheetView>
  </sheetViews>
  <sheetFormatPr baseColWidth="10" defaultRowHeight="13"/>
  <sheetData>
    <row r="1" spans="1:16" ht="17">
      <c r="A1" s="1046"/>
      <c r="B1" s="1047"/>
      <c r="C1" s="1047"/>
      <c r="D1" s="904" t="str">
        <f>TOC!E1</f>
        <v>PERTAMINA EP</v>
      </c>
      <c r="E1" s="905"/>
      <c r="F1" s="905"/>
      <c r="G1" s="905"/>
      <c r="H1" s="905"/>
      <c r="I1" s="905"/>
      <c r="J1" s="905"/>
      <c r="K1" s="905"/>
      <c r="L1" s="905"/>
      <c r="M1" s="905"/>
      <c r="N1" s="905"/>
      <c r="O1" s="905"/>
      <c r="P1" s="906"/>
    </row>
    <row r="2" spans="1:16" ht="17">
      <c r="A2" s="1048"/>
      <c r="B2" s="1049"/>
      <c r="C2" s="1049"/>
      <c r="D2" s="954"/>
      <c r="E2" s="955"/>
      <c r="F2" s="955"/>
      <c r="G2" s="955"/>
      <c r="H2" s="955"/>
      <c r="I2" s="955"/>
      <c r="J2" s="955"/>
      <c r="K2" s="955"/>
      <c r="L2" s="955"/>
      <c r="M2" s="955"/>
      <c r="N2" s="955"/>
      <c r="O2" s="955"/>
      <c r="P2" s="956"/>
    </row>
    <row r="3" spans="1:16" ht="17">
      <c r="A3" s="1050"/>
      <c r="B3" s="1051"/>
      <c r="C3" s="1051"/>
      <c r="D3" s="36" t="s">
        <v>48</v>
      </c>
      <c r="E3" s="121"/>
      <c r="F3" s="121"/>
      <c r="G3" s="121"/>
      <c r="H3" s="121"/>
      <c r="I3" s="121"/>
      <c r="J3" s="121"/>
      <c r="K3" s="122"/>
      <c r="L3" s="38" t="s">
        <v>49</v>
      </c>
      <c r="M3" s="123"/>
      <c r="N3" s="123"/>
      <c r="O3" s="123"/>
      <c r="P3" s="124"/>
    </row>
    <row r="4" spans="1:16" ht="17">
      <c r="A4" s="1052"/>
      <c r="B4" s="1053"/>
      <c r="C4" s="1053"/>
      <c r="D4" s="40" t="str">
        <f>'Cover Report'!Z1</f>
        <v>Integrated Management Dashboard Production &amp; Project Zona 13</v>
      </c>
      <c r="E4" s="127"/>
      <c r="F4" s="127"/>
      <c r="G4" s="127"/>
      <c r="H4" s="127"/>
      <c r="I4" s="127"/>
      <c r="J4" s="127"/>
      <c r="K4" s="128"/>
      <c r="L4" s="40" t="str">
        <f>'Cover Report'!Z5</f>
        <v>W2026I-DNGF-EM-100-PRG-WLY-0012</v>
      </c>
      <c r="M4" s="129"/>
      <c r="N4" s="129"/>
      <c r="O4" s="129"/>
      <c r="P4" s="130"/>
    </row>
    <row r="5" spans="1:16" ht="17">
      <c r="A5" s="1048"/>
      <c r="B5" s="1049"/>
      <c r="C5" s="1049"/>
      <c r="D5" s="38" t="s">
        <v>50</v>
      </c>
      <c r="E5" s="133"/>
      <c r="F5" s="133"/>
      <c r="G5" s="133"/>
      <c r="H5" s="133"/>
      <c r="I5" s="133"/>
      <c r="J5" s="133"/>
      <c r="K5" s="134"/>
      <c r="L5" s="919" t="s">
        <v>86</v>
      </c>
      <c r="M5" s="920"/>
      <c r="N5" s="920"/>
      <c r="O5" s="920"/>
      <c r="P5" s="921"/>
    </row>
    <row r="6" spans="1:16" ht="17">
      <c r="A6" s="1054"/>
      <c r="B6" s="1055"/>
      <c r="C6" s="1055"/>
      <c r="D6" s="40" t="str">
        <f>TOC!E6</f>
        <v xml:space="preserve">Weekly Report </v>
      </c>
      <c r="E6" s="136"/>
      <c r="F6" s="136"/>
      <c r="G6" s="136"/>
      <c r="H6" s="136"/>
      <c r="I6" s="136"/>
      <c r="J6" s="136"/>
      <c r="K6" s="137"/>
      <c r="L6" s="922"/>
      <c r="M6" s="923"/>
      <c r="N6" s="923"/>
      <c r="O6" s="923"/>
      <c r="P6" s="924"/>
    </row>
    <row r="7" spans="1:16" ht="17">
      <c r="A7" s="256"/>
      <c r="B7" s="257"/>
      <c r="C7" s="257"/>
      <c r="D7" s="257"/>
      <c r="E7" s="257"/>
      <c r="F7" s="257"/>
      <c r="G7" s="257"/>
      <c r="H7" s="258"/>
      <c r="I7" s="258"/>
      <c r="J7" s="258"/>
      <c r="K7" s="258"/>
      <c r="L7" s="258"/>
      <c r="M7" s="258"/>
      <c r="N7" s="258"/>
      <c r="O7" s="258"/>
      <c r="P7" s="259"/>
    </row>
    <row r="8" spans="1:16" ht="24">
      <c r="A8" s="261"/>
      <c r="B8" s="262"/>
      <c r="C8" s="262"/>
      <c r="D8" s="262"/>
      <c r="E8" s="262"/>
      <c r="F8" s="262"/>
      <c r="G8" s="262"/>
      <c r="H8" s="262"/>
      <c r="I8" s="262"/>
      <c r="J8" s="262"/>
      <c r="K8" s="262"/>
      <c r="L8" s="262"/>
      <c r="M8" s="262"/>
      <c r="N8" s="262"/>
      <c r="O8" s="262"/>
      <c r="P8" s="263"/>
    </row>
    <row r="9" spans="1:16" ht="21">
      <c r="A9" s="264"/>
      <c r="B9" s="265"/>
      <c r="C9" s="265"/>
      <c r="D9" s="265"/>
      <c r="E9" s="265"/>
      <c r="F9" s="265"/>
      <c r="G9" s="265"/>
      <c r="H9" s="265"/>
      <c r="I9" s="265"/>
      <c r="J9" s="265"/>
      <c r="K9" s="265"/>
      <c r="L9" s="265"/>
      <c r="M9" s="265"/>
      <c r="N9" s="265"/>
      <c r="O9" s="265"/>
      <c r="P9" s="266"/>
    </row>
    <row r="10" spans="1:16" ht="31">
      <c r="A10" s="267"/>
      <c r="B10" s="268"/>
      <c r="C10" s="268"/>
      <c r="D10" s="268"/>
      <c r="E10" s="268"/>
      <c r="F10" s="268"/>
      <c r="G10" s="268"/>
      <c r="H10" s="268"/>
      <c r="I10" s="268"/>
      <c r="J10" s="268"/>
      <c r="K10" s="268"/>
      <c r="L10" s="268"/>
      <c r="M10" s="268"/>
      <c r="N10" s="268"/>
      <c r="O10" s="268"/>
      <c r="P10" s="269"/>
    </row>
    <row r="11" spans="1:16" ht="31">
      <c r="A11" s="271"/>
      <c r="B11" s="272"/>
      <c r="C11" s="272"/>
      <c r="D11" s="272"/>
      <c r="E11" s="272"/>
      <c r="F11" s="272"/>
      <c r="G11" s="272"/>
      <c r="H11" s="272"/>
      <c r="I11" s="272"/>
      <c r="J11" s="272"/>
      <c r="K11" s="272"/>
      <c r="L11" s="272"/>
      <c r="M11" s="272"/>
      <c r="N11" s="272"/>
      <c r="O11" s="272"/>
      <c r="P11" s="273"/>
    </row>
    <row r="12" spans="1:16" ht="26">
      <c r="A12" s="275"/>
      <c r="B12" s="247"/>
      <c r="C12" s="247"/>
      <c r="D12" s="247"/>
      <c r="E12" s="247"/>
      <c r="F12" s="247"/>
      <c r="G12" s="247"/>
      <c r="H12" s="247"/>
      <c r="I12" s="247"/>
      <c r="J12" s="247"/>
      <c r="K12" s="247"/>
      <c r="L12" s="247"/>
      <c r="M12" s="247"/>
      <c r="N12" s="247"/>
      <c r="O12" s="247"/>
      <c r="P12" s="276"/>
    </row>
    <row r="13" spans="1:16" ht="21">
      <c r="A13" s="277"/>
      <c r="B13" s="278"/>
      <c r="C13" s="279"/>
      <c r="D13" s="279"/>
      <c r="E13" s="279"/>
      <c r="F13" s="279"/>
      <c r="G13" s="279"/>
      <c r="H13" s="279"/>
      <c r="I13" s="279"/>
      <c r="J13" s="279"/>
      <c r="K13" s="279"/>
      <c r="L13" s="279"/>
      <c r="M13" s="279"/>
      <c r="N13" s="279"/>
      <c r="O13" s="279"/>
      <c r="P13" s="280"/>
    </row>
    <row r="14" spans="1:16" ht="21">
      <c r="A14" s="277"/>
      <c r="B14" s="283"/>
      <c r="C14" s="279"/>
      <c r="D14" s="279"/>
      <c r="E14" s="279"/>
      <c r="F14" s="279"/>
      <c r="G14" s="279"/>
      <c r="H14" s="279"/>
      <c r="I14" s="279"/>
      <c r="J14" s="279"/>
      <c r="K14" s="279"/>
      <c r="L14" s="279"/>
      <c r="M14" s="279"/>
      <c r="N14" s="279"/>
      <c r="O14" s="279"/>
      <c r="P14" s="280"/>
    </row>
    <row r="15" spans="1:16" ht="19">
      <c r="A15" s="284"/>
      <c r="B15" s="285"/>
      <c r="C15" s="286"/>
      <c r="D15" s="285"/>
      <c r="E15" s="286"/>
      <c r="F15" s="286"/>
      <c r="G15" s="286"/>
      <c r="H15" s="285"/>
      <c r="I15" s="285"/>
      <c r="J15" s="285"/>
      <c r="K15" s="286"/>
      <c r="L15" s="286"/>
      <c r="M15" s="286"/>
      <c r="N15" s="286"/>
      <c r="O15" s="282"/>
      <c r="P15" s="287"/>
    </row>
    <row r="16" spans="1:16" ht="19">
      <c r="A16" s="284"/>
      <c r="B16" s="285"/>
      <c r="C16" s="286"/>
      <c r="D16" s="285"/>
      <c r="E16" s="288"/>
      <c r="F16" s="288"/>
      <c r="G16" s="288"/>
      <c r="H16" s="288"/>
      <c r="I16" s="288"/>
      <c r="J16" s="288"/>
      <c r="K16" s="288"/>
      <c r="L16" s="288"/>
      <c r="M16" s="288"/>
      <c r="N16" s="286"/>
      <c r="O16" s="282"/>
      <c r="P16" s="287"/>
    </row>
    <row r="17" spans="1:16" ht="21">
      <c r="A17" s="284"/>
      <c r="B17" s="288"/>
      <c r="C17" s="289"/>
      <c r="D17" s="288"/>
      <c r="E17" s="288"/>
      <c r="F17" s="288"/>
      <c r="G17" s="288"/>
      <c r="H17" s="288"/>
      <c r="I17" s="288"/>
      <c r="J17" s="288"/>
      <c r="K17" s="288"/>
      <c r="L17" s="288"/>
      <c r="M17" s="288"/>
      <c r="N17" s="290"/>
      <c r="O17" s="265"/>
      <c r="P17" s="266"/>
    </row>
    <row r="18" spans="1:16" ht="19">
      <c r="A18" s="284"/>
      <c r="B18" s="292"/>
      <c r="C18" s="293"/>
      <c r="D18" s="294"/>
      <c r="E18" s="156"/>
      <c r="F18" s="156"/>
      <c r="G18" s="156"/>
      <c r="H18" s="156"/>
      <c r="I18" s="156"/>
      <c r="J18" s="156"/>
      <c r="K18" s="156"/>
      <c r="L18" s="156"/>
      <c r="M18" s="156"/>
      <c r="N18" s="295"/>
      <c r="O18" s="291"/>
      <c r="P18" s="296"/>
    </row>
    <row r="19" spans="1:16" ht="19">
      <c r="A19" s="297"/>
      <c r="B19" s="292"/>
      <c r="C19" s="293"/>
      <c r="D19" s="294"/>
      <c r="E19" s="156"/>
      <c r="F19" s="156"/>
      <c r="G19" s="156"/>
      <c r="H19" s="156"/>
      <c r="I19" s="156"/>
      <c r="J19" s="156"/>
      <c r="K19" s="156"/>
      <c r="L19" s="156"/>
      <c r="M19" s="156"/>
      <c r="N19" s="295"/>
      <c r="O19" s="291"/>
      <c r="P19" s="296"/>
    </row>
    <row r="20" spans="1:16" ht="21">
      <c r="A20" s="301"/>
      <c r="B20" s="302"/>
      <c r="C20" s="302"/>
      <c r="D20" s="302"/>
      <c r="E20" s="302"/>
      <c r="F20" s="302"/>
      <c r="G20" s="302"/>
      <c r="H20" s="302"/>
      <c r="I20" s="302"/>
      <c r="J20" s="302"/>
      <c r="K20" s="302"/>
      <c r="L20" s="302"/>
      <c r="M20" s="302"/>
      <c r="N20" s="302"/>
      <c r="O20" s="302"/>
      <c r="P20" s="303"/>
    </row>
    <row r="21" spans="1:16" ht="21">
      <c r="A21" s="301"/>
      <c r="B21" s="302"/>
      <c r="C21" s="302"/>
      <c r="D21" s="302"/>
      <c r="E21" s="302"/>
      <c r="F21" s="302"/>
      <c r="G21" s="302"/>
      <c r="H21" s="302"/>
      <c r="I21" s="302"/>
      <c r="J21" s="302"/>
      <c r="K21" s="302"/>
      <c r="L21" s="302"/>
      <c r="M21" s="302"/>
      <c r="N21" s="302"/>
      <c r="O21" s="302"/>
      <c r="P21" s="303"/>
    </row>
    <row r="22" spans="1:16" ht="21">
      <c r="A22" s="301"/>
      <c r="B22" s="302"/>
      <c r="C22" s="302"/>
      <c r="D22" s="302"/>
      <c r="E22" s="302"/>
      <c r="F22" s="302"/>
      <c r="G22" s="302"/>
      <c r="H22" s="302"/>
      <c r="I22" s="302"/>
      <c r="J22" s="302"/>
      <c r="K22" s="302"/>
      <c r="L22" s="302"/>
      <c r="M22" s="302"/>
      <c r="N22" s="302"/>
      <c r="O22" s="302"/>
      <c r="P22" s="303"/>
    </row>
    <row r="23" spans="1:16" ht="21">
      <c r="A23" s="306"/>
      <c r="B23" s="292"/>
      <c r="C23" s="293"/>
      <c r="D23" s="294"/>
      <c r="E23" s="156"/>
      <c r="F23" s="156"/>
      <c r="G23" s="156"/>
      <c r="H23" s="156"/>
      <c r="I23" s="156"/>
      <c r="J23" s="156"/>
      <c r="K23" s="156"/>
      <c r="L23" s="156"/>
      <c r="M23" s="156"/>
      <c r="N23" s="295"/>
      <c r="O23" s="307"/>
      <c r="P23" s="308"/>
    </row>
    <row r="24" spans="1:16" ht="21">
      <c r="A24" s="301"/>
      <c r="B24" s="292"/>
      <c r="C24" s="293"/>
      <c r="D24" s="294"/>
      <c r="E24" s="156"/>
      <c r="F24" s="156"/>
      <c r="G24" s="156"/>
      <c r="H24" s="156"/>
      <c r="I24" s="156"/>
      <c r="J24" s="156"/>
      <c r="K24" s="156"/>
      <c r="L24" s="156"/>
      <c r="M24" s="156"/>
      <c r="N24" s="295"/>
      <c r="O24" s="291"/>
      <c r="P24" s="296"/>
    </row>
    <row r="25" spans="1:16" ht="19">
      <c r="A25" s="309"/>
      <c r="B25" s="292"/>
      <c r="C25" s="293"/>
      <c r="D25" s="294"/>
      <c r="E25" s="156"/>
      <c r="F25" s="156"/>
      <c r="G25" s="156"/>
      <c r="H25" s="156"/>
      <c r="I25" s="156"/>
      <c r="J25" s="156"/>
      <c r="K25" s="156"/>
      <c r="L25" s="156"/>
      <c r="M25" s="156"/>
      <c r="N25" s="295"/>
      <c r="O25" s="291"/>
      <c r="P25" s="296"/>
    </row>
    <row r="26" spans="1:16" ht="19">
      <c r="A26" s="310"/>
      <c r="B26" s="311"/>
      <c r="C26" s="295"/>
      <c r="D26" s="312"/>
      <c r="E26" s="166"/>
      <c r="F26" s="166"/>
      <c r="G26" s="166"/>
      <c r="H26" s="166"/>
      <c r="I26" s="166"/>
      <c r="J26" s="166"/>
      <c r="K26" s="166"/>
      <c r="L26" s="166"/>
      <c r="M26" s="166"/>
      <c r="N26" s="295"/>
      <c r="O26" s="291"/>
      <c r="P26" s="296"/>
    </row>
    <row r="27" spans="1:16" ht="52">
      <c r="A27" s="1040" t="s">
        <v>273</v>
      </c>
      <c r="B27" s="1041"/>
      <c r="C27" s="1041"/>
      <c r="D27" s="1041"/>
      <c r="E27" s="1041"/>
      <c r="F27" s="1041"/>
      <c r="G27" s="1041"/>
      <c r="H27" s="1041"/>
      <c r="I27" s="1041"/>
      <c r="J27" s="1041"/>
      <c r="K27" s="1041"/>
      <c r="L27" s="1041"/>
      <c r="M27" s="1041"/>
      <c r="N27" s="1041"/>
      <c r="O27" s="1041"/>
      <c r="P27" s="1042"/>
    </row>
    <row r="28" spans="1:16" ht="52">
      <c r="A28" s="313"/>
      <c r="B28" s="314"/>
      <c r="C28" s="315"/>
      <c r="D28" s="315"/>
      <c r="E28" s="315"/>
      <c r="F28" s="315"/>
      <c r="G28" s="315"/>
      <c r="H28" s="315"/>
      <c r="I28" s="315"/>
      <c r="J28" s="315"/>
      <c r="K28" s="315"/>
      <c r="L28" s="315"/>
      <c r="M28" s="315"/>
      <c r="N28" s="315"/>
      <c r="O28" s="316"/>
      <c r="P28" s="317"/>
    </row>
    <row r="29" spans="1:16" ht="52">
      <c r="A29" s="1043" t="s">
        <v>293</v>
      </c>
      <c r="B29" s="1044"/>
      <c r="C29" s="1044"/>
      <c r="D29" s="1044"/>
      <c r="E29" s="1044"/>
      <c r="F29" s="1044"/>
      <c r="G29" s="1044"/>
      <c r="H29" s="1044"/>
      <c r="I29" s="1044"/>
      <c r="J29" s="1044"/>
      <c r="K29" s="1044"/>
      <c r="L29" s="1044"/>
      <c r="M29" s="1044"/>
      <c r="N29" s="1044"/>
      <c r="O29" s="1044"/>
      <c r="P29" s="1045"/>
    </row>
    <row r="30" spans="1:16" ht="21">
      <c r="A30" s="301"/>
      <c r="B30" s="282"/>
      <c r="C30" s="282"/>
      <c r="D30" s="282"/>
      <c r="E30" s="282"/>
      <c r="F30" s="282"/>
      <c r="G30" s="282"/>
      <c r="H30" s="282"/>
      <c r="I30" s="282"/>
      <c r="J30" s="282"/>
      <c r="K30" s="282"/>
      <c r="L30" s="282"/>
      <c r="M30" s="282"/>
      <c r="N30" s="282"/>
      <c r="O30" s="291"/>
      <c r="P30" s="296"/>
    </row>
    <row r="31" spans="1:16" ht="19">
      <c r="A31" s="309"/>
      <c r="B31" s="318"/>
      <c r="C31" s="282"/>
      <c r="D31" s="282"/>
      <c r="E31" s="282"/>
      <c r="F31" s="282"/>
      <c r="G31" s="282"/>
      <c r="H31" s="282"/>
      <c r="I31" s="282"/>
      <c r="J31" s="282"/>
      <c r="K31" s="282"/>
      <c r="L31" s="282"/>
      <c r="M31" s="282"/>
      <c r="N31" s="282"/>
      <c r="O31" s="291"/>
      <c r="P31" s="296"/>
    </row>
    <row r="32" spans="1:16" ht="24">
      <c r="A32" s="310"/>
      <c r="B32" s="319"/>
      <c r="C32" s="291"/>
      <c r="D32" s="265"/>
      <c r="E32" s="265"/>
      <c r="F32" s="265"/>
      <c r="G32" s="265"/>
      <c r="H32" s="265"/>
      <c r="I32" s="265"/>
      <c r="J32" s="265"/>
      <c r="K32" s="265"/>
      <c r="L32" s="265"/>
      <c r="M32" s="265"/>
      <c r="N32" s="265"/>
      <c r="O32" s="291"/>
      <c r="P32" s="296"/>
    </row>
    <row r="33" spans="1:16" ht="21">
      <c r="A33" s="301"/>
      <c r="B33" s="302"/>
      <c r="C33" s="302"/>
      <c r="D33" s="302"/>
      <c r="E33" s="302"/>
      <c r="F33" s="302"/>
      <c r="G33" s="302"/>
      <c r="H33" s="302"/>
      <c r="I33" s="302"/>
      <c r="J33" s="302"/>
      <c r="K33" s="302"/>
      <c r="L33" s="302"/>
      <c r="M33" s="302"/>
      <c r="N33" s="302"/>
      <c r="O33" s="302"/>
      <c r="P33" s="303"/>
    </row>
    <row r="34" spans="1:16" ht="24">
      <c r="A34" s="310"/>
      <c r="B34" s="319"/>
      <c r="C34" s="291"/>
      <c r="D34" s="265"/>
      <c r="E34" s="265"/>
      <c r="F34" s="265"/>
      <c r="G34" s="265"/>
      <c r="H34" s="265"/>
      <c r="I34" s="265"/>
      <c r="J34" s="265"/>
      <c r="K34" s="265"/>
      <c r="L34" s="265"/>
      <c r="M34" s="265"/>
      <c r="N34" s="265"/>
      <c r="O34" s="291"/>
      <c r="P34" s="296"/>
    </row>
    <row r="35" spans="1:16" ht="21">
      <c r="A35" s="301"/>
      <c r="B35" s="302"/>
      <c r="C35" s="302"/>
      <c r="D35" s="302"/>
      <c r="E35" s="302"/>
      <c r="F35" s="302"/>
      <c r="G35" s="302"/>
      <c r="H35" s="302"/>
      <c r="I35" s="302"/>
      <c r="J35" s="302"/>
      <c r="K35" s="302"/>
      <c r="L35" s="302"/>
      <c r="M35" s="302"/>
      <c r="N35" s="302"/>
      <c r="O35" s="302"/>
      <c r="P35" s="303"/>
    </row>
    <row r="36" spans="1:16" ht="21">
      <c r="A36" s="301"/>
      <c r="B36" s="302"/>
      <c r="C36" s="302"/>
      <c r="D36" s="302"/>
      <c r="E36" s="302"/>
      <c r="F36" s="302"/>
      <c r="G36" s="302"/>
      <c r="H36" s="302"/>
      <c r="I36" s="302"/>
      <c r="J36" s="302"/>
      <c r="K36" s="302"/>
      <c r="L36" s="302"/>
      <c r="M36" s="302"/>
      <c r="N36" s="302"/>
      <c r="O36" s="302"/>
      <c r="P36" s="303"/>
    </row>
    <row r="37" spans="1:16" ht="21">
      <c r="A37" s="301"/>
      <c r="B37" s="302"/>
      <c r="C37" s="302"/>
      <c r="D37" s="302"/>
      <c r="E37" s="302"/>
      <c r="F37" s="302"/>
      <c r="G37" s="302"/>
      <c r="H37" s="302"/>
      <c r="I37" s="302"/>
      <c r="J37" s="302"/>
      <c r="K37" s="302"/>
      <c r="L37" s="302"/>
      <c r="M37" s="302"/>
      <c r="N37" s="302"/>
      <c r="O37" s="302"/>
      <c r="P37" s="303"/>
    </row>
    <row r="38" spans="1:16" ht="21">
      <c r="A38" s="301"/>
      <c r="B38" s="302"/>
      <c r="C38" s="302"/>
      <c r="D38" s="302"/>
      <c r="E38" s="302"/>
      <c r="F38" s="302"/>
      <c r="G38" s="302"/>
      <c r="H38" s="302"/>
      <c r="I38" s="302"/>
      <c r="J38" s="302"/>
      <c r="K38" s="302"/>
      <c r="L38" s="302"/>
      <c r="M38" s="302"/>
      <c r="N38" s="302"/>
      <c r="O38" s="302"/>
      <c r="P38" s="303"/>
    </row>
    <row r="39" spans="1:16" ht="21">
      <c r="A39" s="301"/>
      <c r="B39" s="302"/>
      <c r="C39" s="302"/>
      <c r="D39" s="302"/>
      <c r="E39" s="302"/>
      <c r="F39" s="302"/>
      <c r="G39" s="302"/>
      <c r="H39" s="302"/>
      <c r="I39" s="302"/>
      <c r="J39" s="302"/>
      <c r="K39" s="302"/>
      <c r="L39" s="302"/>
      <c r="M39" s="302"/>
      <c r="N39" s="302"/>
      <c r="O39" s="302"/>
      <c r="P39" s="303"/>
    </row>
    <row r="40" spans="1:16" ht="21">
      <c r="A40" s="301"/>
      <c r="B40" s="302"/>
      <c r="C40" s="302"/>
      <c r="D40" s="302"/>
      <c r="E40" s="302"/>
      <c r="F40" s="302"/>
      <c r="G40" s="302"/>
      <c r="H40" s="302"/>
      <c r="I40" s="302"/>
      <c r="J40" s="302"/>
      <c r="K40" s="302"/>
      <c r="L40" s="302"/>
      <c r="M40" s="302"/>
      <c r="N40" s="302"/>
      <c r="O40" s="302"/>
      <c r="P40" s="303"/>
    </row>
    <row r="41" spans="1:16" ht="21">
      <c r="A41" s="301"/>
      <c r="B41" s="302"/>
      <c r="C41" s="302"/>
      <c r="D41" s="302"/>
      <c r="E41" s="302"/>
      <c r="F41" s="302"/>
      <c r="G41" s="302"/>
      <c r="H41" s="302"/>
      <c r="I41" s="302"/>
      <c r="J41" s="302"/>
      <c r="K41" s="302"/>
      <c r="L41" s="302"/>
      <c r="M41" s="302"/>
      <c r="N41" s="302"/>
      <c r="O41" s="302"/>
      <c r="P41" s="303"/>
    </row>
    <row r="42" spans="1:16" ht="21">
      <c r="A42" s="301"/>
      <c r="B42" s="302"/>
      <c r="C42" s="302"/>
      <c r="D42" s="302"/>
      <c r="E42" s="302"/>
      <c r="F42" s="302"/>
      <c r="G42" s="302"/>
      <c r="H42" s="302"/>
      <c r="I42" s="302"/>
      <c r="J42" s="302"/>
      <c r="K42" s="302"/>
      <c r="L42" s="302"/>
      <c r="M42" s="302"/>
      <c r="N42" s="302"/>
      <c r="O42" s="302"/>
      <c r="P42" s="303"/>
    </row>
    <row r="43" spans="1:16" ht="21">
      <c r="A43" s="301"/>
      <c r="B43" s="302"/>
      <c r="C43" s="302"/>
      <c r="D43" s="302"/>
      <c r="E43" s="302"/>
      <c r="F43" s="302"/>
      <c r="G43" s="302"/>
      <c r="H43" s="302"/>
      <c r="I43" s="302"/>
      <c r="J43" s="302"/>
      <c r="K43" s="302"/>
      <c r="L43" s="302"/>
      <c r="M43" s="302"/>
      <c r="N43" s="302"/>
      <c r="O43" s="302"/>
      <c r="P43" s="303"/>
    </row>
    <row r="44" spans="1:16" ht="21">
      <c r="A44" s="301"/>
      <c r="B44" s="302"/>
      <c r="C44" s="302"/>
      <c r="D44" s="302"/>
      <c r="E44" s="302"/>
      <c r="F44" s="302"/>
      <c r="G44" s="302"/>
      <c r="H44" s="302"/>
      <c r="I44" s="302"/>
      <c r="J44" s="302"/>
      <c r="K44" s="302"/>
      <c r="L44" s="302"/>
      <c r="M44" s="302"/>
      <c r="N44" s="302"/>
      <c r="O44" s="302"/>
      <c r="P44" s="303"/>
    </row>
    <row r="45" spans="1:16" ht="21">
      <c r="A45" s="301"/>
      <c r="B45" s="302"/>
      <c r="C45" s="302"/>
      <c r="D45" s="302"/>
      <c r="E45" s="302"/>
      <c r="F45" s="302"/>
      <c r="G45" s="302"/>
      <c r="H45" s="302"/>
      <c r="I45" s="302"/>
      <c r="J45" s="302"/>
      <c r="K45" s="302"/>
      <c r="L45" s="302"/>
      <c r="M45" s="302"/>
      <c r="N45" s="302"/>
      <c r="O45" s="302"/>
      <c r="P45" s="303"/>
    </row>
    <row r="46" spans="1:16" ht="21">
      <c r="A46" s="301"/>
      <c r="B46" s="302"/>
      <c r="C46" s="302"/>
      <c r="D46" s="302"/>
      <c r="E46" s="302"/>
      <c r="F46" s="302"/>
      <c r="G46" s="302"/>
      <c r="H46" s="302"/>
      <c r="I46" s="302"/>
      <c r="J46" s="302"/>
      <c r="K46" s="302"/>
      <c r="L46" s="302"/>
      <c r="M46" s="302"/>
      <c r="N46" s="302"/>
      <c r="O46" s="302"/>
      <c r="P46" s="303"/>
    </row>
    <row r="47" spans="1:16" ht="21">
      <c r="A47" s="301"/>
      <c r="B47" s="302"/>
      <c r="C47" s="302"/>
      <c r="D47" s="302"/>
      <c r="E47" s="302"/>
      <c r="F47" s="302"/>
      <c r="G47" s="302"/>
      <c r="H47" s="302"/>
      <c r="I47" s="302"/>
      <c r="J47" s="302"/>
      <c r="K47" s="302"/>
      <c r="L47" s="302"/>
      <c r="M47" s="302"/>
      <c r="N47" s="302"/>
      <c r="O47" s="302"/>
      <c r="P47" s="303"/>
    </row>
    <row r="48" spans="1:16" ht="21">
      <c r="A48" s="301"/>
      <c r="B48" s="302"/>
      <c r="C48" s="302"/>
      <c r="D48" s="302"/>
      <c r="E48" s="302"/>
      <c r="F48" s="302"/>
      <c r="G48" s="302"/>
      <c r="H48" s="302"/>
      <c r="I48" s="302"/>
      <c r="J48" s="302"/>
      <c r="K48" s="302"/>
      <c r="L48" s="302"/>
      <c r="M48" s="302"/>
      <c r="N48" s="302"/>
      <c r="O48" s="302"/>
      <c r="P48" s="303"/>
    </row>
    <row r="49" spans="1:16" ht="21">
      <c r="A49" s="301"/>
      <c r="B49" s="302"/>
      <c r="C49" s="302"/>
      <c r="D49" s="302"/>
      <c r="E49" s="302"/>
      <c r="F49" s="302"/>
      <c r="G49" s="302"/>
      <c r="H49" s="302"/>
      <c r="I49" s="302"/>
      <c r="J49" s="302"/>
      <c r="K49" s="302"/>
      <c r="L49" s="302"/>
      <c r="M49" s="302"/>
      <c r="N49" s="302"/>
      <c r="O49" s="302"/>
      <c r="P49" s="303"/>
    </row>
    <row r="50" spans="1:16" ht="21">
      <c r="A50" s="301"/>
      <c r="B50" s="302"/>
      <c r="C50" s="302"/>
      <c r="D50" s="302"/>
      <c r="E50" s="302"/>
      <c r="F50" s="302"/>
      <c r="G50" s="302"/>
      <c r="H50" s="302"/>
      <c r="I50" s="302"/>
      <c r="J50" s="302"/>
      <c r="K50" s="302"/>
      <c r="L50" s="302"/>
      <c r="M50" s="302"/>
      <c r="N50" s="302"/>
      <c r="O50" s="302"/>
      <c r="P50" s="303"/>
    </row>
    <row r="51" spans="1:16" ht="21">
      <c r="A51" s="301"/>
      <c r="B51" s="302"/>
      <c r="C51" s="302"/>
      <c r="D51" s="302"/>
      <c r="E51" s="302"/>
      <c r="F51" s="302"/>
      <c r="G51" s="302"/>
      <c r="H51" s="302"/>
      <c r="I51" s="302"/>
      <c r="J51" s="302"/>
      <c r="K51" s="302"/>
      <c r="L51" s="302"/>
      <c r="M51" s="302"/>
      <c r="N51" s="302"/>
      <c r="O51" s="302"/>
      <c r="P51" s="303"/>
    </row>
    <row r="52" spans="1:16" ht="21">
      <c r="A52" s="301"/>
      <c r="B52" s="302"/>
      <c r="C52" s="302"/>
      <c r="D52" s="302"/>
      <c r="E52" s="302"/>
      <c r="F52" s="302"/>
      <c r="G52" s="302"/>
      <c r="H52" s="302"/>
      <c r="I52" s="302"/>
      <c r="J52" s="302"/>
      <c r="K52" s="302"/>
      <c r="L52" s="302"/>
      <c r="M52" s="302"/>
      <c r="N52" s="302"/>
      <c r="O52" s="302"/>
      <c r="P52" s="303"/>
    </row>
    <row r="53" spans="1:16" ht="21">
      <c r="A53" s="301"/>
      <c r="B53" s="302"/>
      <c r="C53" s="302"/>
      <c r="D53" s="302"/>
      <c r="E53" s="302"/>
      <c r="F53" s="302"/>
      <c r="G53" s="302"/>
      <c r="H53" s="302"/>
      <c r="I53" s="302"/>
      <c r="J53" s="302"/>
      <c r="K53" s="302"/>
      <c r="L53" s="302"/>
      <c r="M53" s="302"/>
      <c r="N53" s="302"/>
      <c r="O53" s="302"/>
      <c r="P53" s="303"/>
    </row>
    <row r="54" spans="1:16" ht="21">
      <c r="A54" s="301"/>
      <c r="B54" s="302"/>
      <c r="C54" s="302"/>
      <c r="D54" s="302"/>
      <c r="E54" s="302"/>
      <c r="F54" s="302"/>
      <c r="G54" s="302"/>
      <c r="H54" s="302"/>
      <c r="I54" s="302"/>
      <c r="J54" s="302"/>
      <c r="K54" s="302"/>
      <c r="L54" s="302"/>
      <c r="M54" s="302"/>
      <c r="N54" s="302"/>
      <c r="O54" s="302"/>
      <c r="P54" s="303"/>
    </row>
    <row r="55" spans="1:16" ht="21">
      <c r="A55" s="301"/>
      <c r="B55" s="302"/>
      <c r="C55" s="302"/>
      <c r="D55" s="302"/>
      <c r="E55" s="302"/>
      <c r="F55" s="302"/>
      <c r="G55" s="302"/>
      <c r="H55" s="302"/>
      <c r="I55" s="302"/>
      <c r="J55" s="302"/>
      <c r="K55" s="302"/>
      <c r="L55" s="302"/>
      <c r="M55" s="302"/>
      <c r="N55" s="302"/>
      <c r="O55" s="302"/>
      <c r="P55" s="303"/>
    </row>
    <row r="56" spans="1:16" ht="21">
      <c r="A56" s="301"/>
      <c r="B56" s="302"/>
      <c r="C56" s="302"/>
      <c r="D56" s="302"/>
      <c r="E56" s="302"/>
      <c r="F56" s="302"/>
      <c r="G56" s="302"/>
      <c r="H56" s="302"/>
      <c r="I56" s="302"/>
      <c r="J56" s="302"/>
      <c r="K56" s="302"/>
      <c r="L56" s="302"/>
      <c r="M56" s="302"/>
      <c r="N56" s="302"/>
      <c r="O56" s="302"/>
      <c r="P56" s="303"/>
    </row>
    <row r="57" spans="1:16" ht="21">
      <c r="A57" s="301"/>
      <c r="B57" s="302"/>
      <c r="C57" s="302"/>
      <c r="D57" s="302"/>
      <c r="E57" s="302"/>
      <c r="F57" s="302"/>
      <c r="G57" s="302"/>
      <c r="H57" s="302"/>
      <c r="I57" s="302"/>
      <c r="J57" s="302"/>
      <c r="K57" s="302"/>
      <c r="L57" s="302"/>
      <c r="M57" s="302"/>
      <c r="N57" s="302"/>
      <c r="O57" s="302"/>
      <c r="P57" s="303"/>
    </row>
    <row r="58" spans="1:16" ht="21">
      <c r="A58" s="301"/>
      <c r="B58" s="302"/>
      <c r="C58" s="302"/>
      <c r="D58" s="302"/>
      <c r="E58" s="302"/>
      <c r="F58" s="302"/>
      <c r="G58" s="302"/>
      <c r="H58" s="302"/>
      <c r="I58" s="302"/>
      <c r="J58" s="302"/>
      <c r="K58" s="302"/>
      <c r="L58" s="302"/>
      <c r="M58" s="302"/>
      <c r="N58" s="302"/>
      <c r="O58" s="302"/>
      <c r="P58" s="303"/>
    </row>
    <row r="59" spans="1:16" ht="21">
      <c r="A59" s="301"/>
      <c r="B59" s="302"/>
      <c r="C59" s="302"/>
      <c r="D59" s="302"/>
      <c r="E59" s="302"/>
      <c r="F59" s="302"/>
      <c r="G59" s="302"/>
      <c r="H59" s="302"/>
      <c r="I59" s="302"/>
      <c r="J59" s="302"/>
      <c r="K59" s="302"/>
      <c r="L59" s="302"/>
      <c r="M59" s="302"/>
      <c r="N59" s="302"/>
      <c r="O59" s="302"/>
      <c r="P59" s="303"/>
    </row>
    <row r="60" spans="1:16" ht="21">
      <c r="A60" s="301"/>
      <c r="B60" s="302"/>
      <c r="C60" s="302"/>
      <c r="D60" s="302"/>
      <c r="E60" s="302"/>
      <c r="F60" s="302"/>
      <c r="G60" s="302"/>
      <c r="H60" s="302"/>
      <c r="I60" s="302"/>
      <c r="J60" s="302"/>
      <c r="K60" s="302"/>
      <c r="L60" s="302"/>
      <c r="M60" s="302"/>
      <c r="N60" s="302"/>
      <c r="O60" s="302"/>
      <c r="P60" s="303"/>
    </row>
    <row r="61" spans="1:16" ht="21">
      <c r="A61" s="301"/>
      <c r="B61" s="302"/>
      <c r="C61" s="302"/>
      <c r="D61" s="302"/>
      <c r="E61" s="302"/>
      <c r="F61" s="302"/>
      <c r="G61" s="302"/>
      <c r="H61" s="302"/>
      <c r="I61" s="302"/>
      <c r="J61" s="302"/>
      <c r="K61" s="302"/>
      <c r="L61" s="302"/>
      <c r="M61" s="302"/>
      <c r="N61" s="302"/>
      <c r="O61" s="302"/>
      <c r="P61" s="303"/>
    </row>
    <row r="62" spans="1:16" ht="21">
      <c r="A62" s="301"/>
      <c r="B62" s="302"/>
      <c r="C62" s="302"/>
      <c r="D62" s="302"/>
      <c r="E62" s="302"/>
      <c r="F62" s="302"/>
      <c r="G62" s="302"/>
      <c r="H62" s="302"/>
      <c r="I62" s="302"/>
      <c r="J62" s="302"/>
      <c r="K62" s="302"/>
      <c r="L62" s="302"/>
      <c r="M62" s="302"/>
      <c r="N62" s="302"/>
      <c r="O62" s="302"/>
      <c r="P62" s="303"/>
    </row>
    <row r="63" spans="1:16" ht="21">
      <c r="A63" s="301"/>
      <c r="B63" s="302"/>
      <c r="C63" s="302"/>
      <c r="D63" s="302"/>
      <c r="E63" s="302"/>
      <c r="F63" s="302"/>
      <c r="G63" s="302"/>
      <c r="H63" s="302"/>
      <c r="I63" s="302"/>
      <c r="J63" s="302"/>
      <c r="K63" s="302"/>
      <c r="L63" s="302"/>
      <c r="M63" s="302"/>
      <c r="N63" s="302"/>
      <c r="O63" s="302"/>
      <c r="P63" s="303"/>
    </row>
    <row r="64" spans="1:16" ht="21">
      <c r="A64" s="301"/>
      <c r="B64" s="302"/>
      <c r="C64" s="302"/>
      <c r="D64" s="302"/>
      <c r="E64" s="302"/>
      <c r="F64" s="302"/>
      <c r="G64" s="302"/>
      <c r="H64" s="302"/>
      <c r="I64" s="302"/>
      <c r="J64" s="302"/>
      <c r="K64" s="302"/>
      <c r="L64" s="302"/>
      <c r="M64" s="302"/>
      <c r="N64" s="302"/>
      <c r="O64" s="302"/>
      <c r="P64" s="303"/>
    </row>
    <row r="65" spans="1:16" ht="21">
      <c r="A65" s="301"/>
      <c r="B65" s="302"/>
      <c r="C65" s="302"/>
      <c r="D65" s="302"/>
      <c r="E65" s="302"/>
      <c r="F65" s="302"/>
      <c r="G65" s="302"/>
      <c r="H65" s="302"/>
      <c r="I65" s="302"/>
      <c r="J65" s="302"/>
      <c r="K65" s="302"/>
      <c r="L65" s="302"/>
      <c r="M65" s="302"/>
      <c r="N65" s="302"/>
      <c r="O65" s="302"/>
      <c r="P65" s="303"/>
    </row>
    <row r="66" spans="1:16" ht="21">
      <c r="A66" s="301"/>
      <c r="B66" s="302"/>
      <c r="C66" s="302"/>
      <c r="D66" s="302"/>
      <c r="E66" s="302"/>
      <c r="F66" s="302"/>
      <c r="G66" s="302"/>
      <c r="H66" s="302"/>
      <c r="I66" s="302"/>
      <c r="J66" s="302"/>
      <c r="K66" s="302"/>
      <c r="L66" s="302"/>
      <c r="M66" s="302"/>
      <c r="N66" s="302"/>
      <c r="O66" s="302"/>
      <c r="P66" s="303"/>
    </row>
    <row r="67" spans="1:16" ht="21">
      <c r="A67" s="320"/>
      <c r="B67" s="321"/>
      <c r="C67" s="321"/>
      <c r="D67" s="321"/>
      <c r="E67" s="321"/>
      <c r="F67" s="321"/>
      <c r="G67" s="321"/>
      <c r="H67" s="321"/>
      <c r="I67" s="321"/>
      <c r="J67" s="321"/>
      <c r="K67" s="321"/>
      <c r="L67" s="321"/>
      <c r="M67" s="321"/>
      <c r="N67" s="321"/>
      <c r="O67" s="321"/>
      <c r="P67" s="322"/>
    </row>
  </sheetData>
  <mergeCells count="10">
    <mergeCell ref="A27:P27"/>
    <mergeCell ref="A29:P29"/>
    <mergeCell ref="A1:C1"/>
    <mergeCell ref="D1:P2"/>
    <mergeCell ref="A2:C2"/>
    <mergeCell ref="A3:C3"/>
    <mergeCell ref="A4:C4"/>
    <mergeCell ref="A5:C5"/>
    <mergeCell ref="L5:P6"/>
    <mergeCell ref="A6:C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3B21-ED13-BB42-9BDC-EE07D2D2B59F}">
  <sheetPr>
    <tabColor rgb="FFFFFF00"/>
  </sheetPr>
  <dimension ref="A1:N29"/>
  <sheetViews>
    <sheetView workbookViewId="0">
      <selection activeCell="P11" sqref="P11"/>
    </sheetView>
  </sheetViews>
  <sheetFormatPr baseColWidth="10" defaultRowHeight="13"/>
  <cols>
    <col min="2" max="2" width="18.1640625" bestFit="1" customWidth="1"/>
  </cols>
  <sheetData>
    <row r="1" spans="1:14" ht="17">
      <c r="A1" s="1046"/>
      <c r="B1" s="1047"/>
      <c r="C1" s="1047"/>
      <c r="D1" s="1074"/>
      <c r="E1" s="904" t="str">
        <f>TOC!E1</f>
        <v>PERTAMINA EP</v>
      </c>
      <c r="F1" s="905"/>
      <c r="G1" s="905"/>
      <c r="H1" s="905"/>
      <c r="I1" s="905"/>
      <c r="J1" s="905"/>
      <c r="K1" s="905"/>
      <c r="L1" s="905"/>
      <c r="M1" s="905"/>
      <c r="N1" s="906"/>
    </row>
    <row r="2" spans="1:14" ht="17">
      <c r="A2" s="1048"/>
      <c r="B2" s="1049"/>
      <c r="C2" s="1049"/>
      <c r="D2" s="1075"/>
      <c r="E2" s="907"/>
      <c r="F2" s="908"/>
      <c r="G2" s="908"/>
      <c r="H2" s="908"/>
      <c r="I2" s="908"/>
      <c r="J2" s="908"/>
      <c r="K2" s="908"/>
      <c r="L2" s="908"/>
      <c r="M2" s="908"/>
      <c r="N2" s="909"/>
    </row>
    <row r="3" spans="1:14" ht="17">
      <c r="A3" s="1050"/>
      <c r="B3" s="1051"/>
      <c r="C3" s="1051"/>
      <c r="D3" s="1076"/>
      <c r="E3" s="36" t="s">
        <v>48</v>
      </c>
      <c r="F3" s="37"/>
      <c r="G3" s="37"/>
      <c r="H3" s="45" t="s">
        <v>49</v>
      </c>
      <c r="I3" s="45"/>
      <c r="J3" s="45"/>
      <c r="K3" s="45" t="str">
        <f>'Cover Report'!Z5</f>
        <v>W2026I-DNGF-EM-100-PRG-WLY-0012</v>
      </c>
      <c r="L3" s="45"/>
      <c r="M3" s="45"/>
      <c r="N3" s="46"/>
    </row>
    <row r="4" spans="1:14" ht="17">
      <c r="A4" s="1052"/>
      <c r="B4" s="1053"/>
      <c r="C4" s="1053"/>
      <c r="D4" s="1077"/>
      <c r="E4" s="40" t="str">
        <f>'Cover Report'!Z1</f>
        <v>Integrated Management Dashboard Production &amp; Project Zona 13</v>
      </c>
      <c r="F4" s="41"/>
      <c r="G4" s="41"/>
      <c r="H4" s="455"/>
      <c r="I4" s="455"/>
      <c r="J4" s="455"/>
      <c r="K4" s="455"/>
      <c r="L4" s="455"/>
      <c r="M4" s="47"/>
      <c r="N4" s="456"/>
    </row>
    <row r="5" spans="1:14" ht="17">
      <c r="A5" s="1048"/>
      <c r="B5" s="1049"/>
      <c r="C5" s="1049"/>
      <c r="D5" s="1075"/>
      <c r="E5" s="38" t="s">
        <v>50</v>
      </c>
      <c r="F5" s="45"/>
      <c r="G5" s="45"/>
      <c r="H5" s="1094"/>
      <c r="I5" s="1094"/>
      <c r="J5" s="1094"/>
      <c r="K5" s="1094"/>
      <c r="L5" s="1094"/>
      <c r="M5" s="1094"/>
      <c r="N5" s="1095"/>
    </row>
    <row r="6" spans="1:14" ht="17">
      <c r="A6" s="1054"/>
      <c r="B6" s="1055"/>
      <c r="C6" s="1055"/>
      <c r="D6" s="1078"/>
      <c r="E6" s="40" t="str">
        <f>TOC!E6</f>
        <v xml:space="preserve">Weekly Report </v>
      </c>
      <c r="F6" s="47"/>
      <c r="G6" s="47"/>
      <c r="H6" s="1096"/>
      <c r="I6" s="1096"/>
      <c r="J6" s="1096"/>
      <c r="K6" s="1096"/>
      <c r="L6" s="1096"/>
      <c r="M6" s="1096"/>
      <c r="N6" s="1097"/>
    </row>
    <row r="7" spans="1:14" ht="17">
      <c r="A7" s="256"/>
      <c r="B7" s="257"/>
      <c r="C7" s="257"/>
      <c r="D7" s="257"/>
      <c r="E7" s="258"/>
      <c r="F7" s="258"/>
      <c r="G7" s="258"/>
      <c r="H7" s="258"/>
      <c r="I7" s="258"/>
      <c r="J7" s="258"/>
      <c r="K7" s="1088"/>
      <c r="L7" s="1088"/>
      <c r="M7" s="1089"/>
      <c r="N7" s="1090"/>
    </row>
    <row r="8" spans="1:14" ht="22" thickBot="1">
      <c r="A8" s="1105" t="str">
        <f>'Appendix D'!A29:P29</f>
        <v>ACTIVITY DOCUMENTATION WEEK 11</v>
      </c>
      <c r="B8" s="1106"/>
      <c r="C8" s="1106"/>
      <c r="D8" s="1106"/>
      <c r="E8" s="1106"/>
      <c r="F8" s="1106"/>
      <c r="G8" s="1106"/>
      <c r="H8" s="1106"/>
      <c r="I8" s="1106"/>
      <c r="J8" s="1106"/>
      <c r="K8" s="1106"/>
      <c r="L8" s="1106"/>
      <c r="M8" s="1106"/>
      <c r="N8" s="1107"/>
    </row>
    <row r="9" spans="1:14">
      <c r="A9" s="801"/>
      <c r="B9" s="802"/>
      <c r="C9" s="802"/>
      <c r="D9" s="802"/>
      <c r="E9" s="802"/>
      <c r="F9" s="802"/>
      <c r="G9" s="802"/>
      <c r="H9" s="802"/>
      <c r="I9" s="802"/>
      <c r="J9" s="802"/>
      <c r="K9" s="802"/>
      <c r="L9" s="802"/>
      <c r="M9" s="802"/>
      <c r="N9" s="803"/>
    </row>
    <row r="10" spans="1:14">
      <c r="A10" s="804"/>
      <c r="B10" s="799" t="s">
        <v>274</v>
      </c>
      <c r="C10" s="1102" t="s">
        <v>78</v>
      </c>
      <c r="D10" s="1102"/>
      <c r="E10" s="1102" t="s">
        <v>275</v>
      </c>
      <c r="F10" s="1102"/>
      <c r="G10" s="1102"/>
      <c r="H10" s="1102"/>
      <c r="I10" s="1102"/>
      <c r="J10" s="1102"/>
      <c r="K10" s="1102"/>
      <c r="L10" s="1102"/>
      <c r="M10" s="1102"/>
      <c r="N10" s="805"/>
    </row>
    <row r="11" spans="1:14" ht="262" customHeight="1">
      <c r="A11" s="804"/>
      <c r="B11" s="800">
        <v>46201</v>
      </c>
      <c r="C11" s="1103" t="s">
        <v>289</v>
      </c>
      <c r="D11" s="1104"/>
      <c r="E11" s="1108"/>
      <c r="F11" s="1108"/>
      <c r="G11" s="1108"/>
      <c r="H11" s="1108"/>
      <c r="I11" s="1108"/>
      <c r="J11" s="1108"/>
      <c r="K11" s="1108"/>
      <c r="L11" s="1108"/>
      <c r="M11" s="1108"/>
      <c r="N11" s="805"/>
    </row>
    <row r="12" spans="1:14">
      <c r="A12" s="804"/>
      <c r="N12" s="805"/>
    </row>
    <row r="13" spans="1:14">
      <c r="A13" s="804"/>
      <c r="N13" s="805"/>
    </row>
    <row r="14" spans="1:14">
      <c r="A14" s="804"/>
      <c r="N14" s="805"/>
    </row>
    <row r="15" spans="1:14">
      <c r="A15" s="804"/>
      <c r="N15" s="805"/>
    </row>
    <row r="16" spans="1:14">
      <c r="A16" s="804"/>
      <c r="N16" s="805"/>
    </row>
    <row r="17" spans="1:14">
      <c r="A17" s="804"/>
      <c r="N17" s="805"/>
    </row>
    <row r="18" spans="1:14">
      <c r="A18" s="804"/>
      <c r="N18" s="805"/>
    </row>
    <row r="19" spans="1:14">
      <c r="A19" s="804"/>
      <c r="N19" s="805"/>
    </row>
    <row r="20" spans="1:14">
      <c r="A20" s="804"/>
      <c r="N20" s="805"/>
    </row>
    <row r="21" spans="1:14">
      <c r="A21" s="804"/>
      <c r="N21" s="805"/>
    </row>
    <row r="22" spans="1:14">
      <c r="A22" s="804"/>
      <c r="N22" s="805"/>
    </row>
    <row r="23" spans="1:14">
      <c r="A23" s="804"/>
      <c r="N23" s="805"/>
    </row>
    <row r="24" spans="1:14">
      <c r="A24" s="804"/>
      <c r="N24" s="805"/>
    </row>
    <row r="25" spans="1:14">
      <c r="A25" s="804"/>
      <c r="N25" s="805"/>
    </row>
    <row r="26" spans="1:14">
      <c r="A26" s="804"/>
      <c r="N26" s="805"/>
    </row>
    <row r="27" spans="1:14">
      <c r="A27" s="804"/>
      <c r="N27" s="805"/>
    </row>
    <row r="28" spans="1:14">
      <c r="A28" s="804"/>
      <c r="N28" s="805"/>
    </row>
    <row r="29" spans="1:14" ht="14" thickBot="1">
      <c r="A29" s="806"/>
      <c r="B29" s="807"/>
      <c r="C29" s="807"/>
      <c r="D29" s="807"/>
      <c r="E29" s="807"/>
      <c r="F29" s="807"/>
      <c r="G29" s="807"/>
      <c r="H29" s="807"/>
      <c r="I29" s="807"/>
      <c r="J29" s="807"/>
      <c r="K29" s="807"/>
      <c r="L29" s="807"/>
      <c r="M29" s="807"/>
      <c r="N29" s="808"/>
    </row>
  </sheetData>
  <mergeCells count="14">
    <mergeCell ref="A5:D5"/>
    <mergeCell ref="H5:N6"/>
    <mergeCell ref="A6:D6"/>
    <mergeCell ref="A1:D1"/>
    <mergeCell ref="E1:N2"/>
    <mergeCell ref="A2:D2"/>
    <mergeCell ref="A3:D3"/>
    <mergeCell ref="A4:D4"/>
    <mergeCell ref="C10:D10"/>
    <mergeCell ref="C11:D11"/>
    <mergeCell ref="K7:N7"/>
    <mergeCell ref="A8:N8"/>
    <mergeCell ref="E10:M10"/>
    <mergeCell ref="E11:M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Lembar kerja</vt:lpstr>
      </vt:variant>
      <vt:variant>
        <vt:i4>12</vt:i4>
      </vt:variant>
      <vt:variant>
        <vt:lpstr>Rentang Bernama</vt:lpstr>
      </vt:variant>
      <vt:variant>
        <vt:i4>9</vt:i4>
      </vt:variant>
    </vt:vector>
  </HeadingPairs>
  <TitlesOfParts>
    <vt:vector size="21" baseType="lpstr">
      <vt:lpstr>Cover Report</vt:lpstr>
      <vt:lpstr>TOC</vt:lpstr>
      <vt:lpstr>Exe Sum</vt:lpstr>
      <vt:lpstr>Appendix A</vt:lpstr>
      <vt:lpstr>S-Overall</vt:lpstr>
      <vt:lpstr>Check</vt:lpstr>
      <vt:lpstr>Appendix B</vt:lpstr>
      <vt:lpstr>Overall MDR_</vt:lpstr>
      <vt:lpstr>Appendix C</vt:lpstr>
      <vt:lpstr>Doc. Submitted</vt:lpstr>
      <vt:lpstr>Appendix D</vt:lpstr>
      <vt:lpstr>Activity Documentation</vt:lpstr>
      <vt:lpstr>'Appendix A'!Print_Area</vt:lpstr>
      <vt:lpstr>'Appendix B'!Print_Area</vt:lpstr>
      <vt:lpstr>'Appendix C'!Print_Area</vt:lpstr>
      <vt:lpstr>'Cover Report'!Print_Area</vt:lpstr>
      <vt:lpstr>'Doc. Submitted'!Print_Area</vt:lpstr>
      <vt:lpstr>'Exe Sum'!Print_Area</vt:lpstr>
      <vt:lpstr>'Overall MDR_'!Print_Area</vt:lpstr>
      <vt:lpstr>'S-Overall'!Print_Area</vt:lpstr>
      <vt:lpstr>TOC!Print_Area</vt:lpstr>
    </vt:vector>
  </TitlesOfParts>
  <Company>PT. ABI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DWE</dc:creator>
  <cp:lastModifiedBy>Arief Sandi</cp:lastModifiedBy>
  <cp:lastPrinted>2025-12-17T03:50:20Z</cp:lastPrinted>
  <dcterms:created xsi:type="dcterms:W3CDTF">2005-12-02T09:31:28Z</dcterms:created>
  <dcterms:modified xsi:type="dcterms:W3CDTF">2026-07-22T13:02:13Z</dcterms:modified>
</cp:coreProperties>
</file>